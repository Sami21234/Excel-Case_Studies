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b60c66bf640a71f3/Desktop/Excel_Case_Studies/CASE STUDY 3 — INVENTORY &amp; SUPPLY CHAIN MANAGEMENT/"/>
    </mc:Choice>
  </mc:AlternateContent>
  <xr:revisionPtr revIDLastSave="117" documentId="8_{7E0203AE-5A58-4BF4-92AB-E4BC3DCB35FB}" xr6:coauthVersionLast="47" xr6:coauthVersionMax="47" xr10:uidLastSave="{2D8827D2-94CA-45F7-A6F4-B512189B79F0}"/>
  <bookViews>
    <workbookView xWindow="-108" yWindow="-108" windowWidth="23256" windowHeight="12456" xr2:uid="{2014E946-71CF-4C32-923F-E1182D4D7847}"/>
  </bookViews>
  <sheets>
    <sheet name="CASE STUDY 3" sheetId="1" r:id="rId1"/>
  </sheets>
  <definedNames>
    <definedName name="_xlcn.WorksheetConnection_Book1.xlsxTable11" hidden="1">Table1[]</definedName>
  </definedNames>
  <calcPr calcId="191029"/>
  <pivotCaches>
    <pivotCache cacheId="39" r:id="rId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41" i="1" l="1" a="1"/>
  <c r="R41" i="1" s="1"/>
  <c r="Q37" i="1"/>
  <c r="R37" i="1" s="1" a="1"/>
  <c r="R37" i="1" s="1"/>
  <c r="Q38" i="1"/>
  <c r="Q39" i="1"/>
  <c r="Q40" i="1"/>
  <c r="Q41" i="1"/>
  <c r="Q42" i="1"/>
  <c r="Q43" i="1"/>
  <c r="Q44" i="1"/>
  <c r="Q45" i="1"/>
  <c r="Q46" i="1"/>
  <c r="Q47" i="1"/>
  <c r="Q48" i="1"/>
  <c r="Q49" i="1"/>
  <c r="Q50" i="1"/>
  <c r="Q51" i="1"/>
  <c r="Q52" i="1"/>
  <c r="Q53" i="1"/>
  <c r="Q54" i="1"/>
  <c r="Q55" i="1"/>
  <c r="Q56" i="1"/>
  <c r="P39" i="1"/>
  <c r="P48" i="1"/>
  <c r="P49" i="1"/>
  <c r="P55" i="1"/>
  <c r="O37" i="1"/>
  <c r="P37" i="1" s="1"/>
  <c r="O38" i="1"/>
  <c r="P38" i="1" s="1"/>
  <c r="O39" i="1"/>
  <c r="O40" i="1"/>
  <c r="P40" i="1" s="1"/>
  <c r="O41" i="1"/>
  <c r="P41" i="1" s="1"/>
  <c r="O42" i="1"/>
  <c r="P42" i="1" s="1"/>
  <c r="O43" i="1"/>
  <c r="P43" i="1" s="1"/>
  <c r="O44" i="1"/>
  <c r="P44" i="1" s="1"/>
  <c r="O45" i="1"/>
  <c r="P45" i="1" s="1"/>
  <c r="O46" i="1"/>
  <c r="P46" i="1" s="1"/>
  <c r="O47" i="1"/>
  <c r="P47" i="1" s="1"/>
  <c r="O48" i="1"/>
  <c r="O49" i="1"/>
  <c r="O50" i="1"/>
  <c r="P50" i="1" s="1"/>
  <c r="O51" i="1"/>
  <c r="P51" i="1" s="1"/>
  <c r="O52" i="1"/>
  <c r="P52" i="1" s="1"/>
  <c r="O53" i="1"/>
  <c r="P53" i="1" s="1"/>
  <c r="O54" i="1"/>
  <c r="P54" i="1" s="1"/>
  <c r="O55" i="1"/>
  <c r="O56" i="1"/>
  <c r="P56" i="1" s="1"/>
  <c r="N37" i="1"/>
  <c r="N38" i="1"/>
  <c r="N39" i="1"/>
  <c r="N40" i="1"/>
  <c r="N41" i="1"/>
  <c r="N42" i="1"/>
  <c r="N43" i="1"/>
  <c r="N44" i="1"/>
  <c r="N45" i="1"/>
  <c r="N46" i="1"/>
  <c r="N47" i="1"/>
  <c r="N48" i="1"/>
  <c r="N49" i="1"/>
  <c r="N50" i="1"/>
  <c r="N51" i="1"/>
  <c r="N52" i="1"/>
  <c r="N53" i="1"/>
  <c r="N54" i="1"/>
  <c r="N55" i="1"/>
  <c r="N56" i="1"/>
  <c r="M37" i="1"/>
  <c r="M38" i="1"/>
  <c r="M39" i="1"/>
  <c r="M40" i="1"/>
  <c r="M41" i="1"/>
  <c r="M42" i="1"/>
  <c r="M43" i="1"/>
  <c r="M44" i="1"/>
  <c r="M45" i="1"/>
  <c r="M46" i="1"/>
  <c r="M47" i="1"/>
  <c r="M48" i="1"/>
  <c r="M49" i="1"/>
  <c r="M50" i="1"/>
  <c r="M51" i="1"/>
  <c r="M52" i="1"/>
  <c r="M53" i="1"/>
  <c r="M54" i="1"/>
  <c r="M55" i="1"/>
  <c r="M56" i="1"/>
  <c r="L37" i="1"/>
  <c r="L38" i="1"/>
  <c r="L39" i="1"/>
  <c r="L40" i="1"/>
  <c r="L41" i="1"/>
  <c r="L42" i="1"/>
  <c r="L43" i="1"/>
  <c r="L44" i="1"/>
  <c r="L45" i="1"/>
  <c r="L46" i="1"/>
  <c r="L47" i="1"/>
  <c r="L48" i="1"/>
  <c r="L49" i="1"/>
  <c r="L50" i="1"/>
  <c r="L51" i="1"/>
  <c r="L52" i="1"/>
  <c r="L53" i="1"/>
  <c r="L54" i="1"/>
  <c r="L55" i="1"/>
  <c r="L56" i="1"/>
  <c r="K37" i="1"/>
  <c r="K38" i="1"/>
  <c r="K39" i="1"/>
  <c r="K40" i="1"/>
  <c r="K41" i="1"/>
  <c r="K42" i="1"/>
  <c r="K43" i="1"/>
  <c r="K44" i="1"/>
  <c r="K45" i="1"/>
  <c r="K46" i="1"/>
  <c r="K47" i="1"/>
  <c r="K48" i="1"/>
  <c r="K49" i="1"/>
  <c r="K50" i="1"/>
  <c r="K51" i="1"/>
  <c r="K52" i="1"/>
  <c r="K53" i="1"/>
  <c r="K54" i="1"/>
  <c r="K55" i="1"/>
  <c r="K56" i="1"/>
  <c r="R45" i="1" l="1" a="1"/>
  <c r="R45" i="1" s="1"/>
  <c r="R44" i="1" a="1"/>
  <c r="R44" i="1" s="1"/>
  <c r="R51" i="1" a="1"/>
  <c r="R51" i="1" s="1"/>
  <c r="R50" i="1" a="1"/>
  <c r="R50" i="1" s="1"/>
  <c r="R53" i="1" a="1"/>
  <c r="R53" i="1" s="1"/>
  <c r="R52" i="1" a="1"/>
  <c r="R52" i="1" s="1"/>
  <c r="R43" i="1" a="1"/>
  <c r="R43" i="1" s="1"/>
  <c r="R42" i="1" a="1"/>
  <c r="R42" i="1" s="1"/>
  <c r="R48" i="1" a="1"/>
  <c r="R48" i="1" s="1"/>
  <c r="R47" i="1" a="1"/>
  <c r="R47" i="1" s="1"/>
  <c r="R49" i="1" a="1"/>
  <c r="R49" i="1" s="1"/>
  <c r="R56" i="1" a="1"/>
  <c r="R56" i="1" s="1"/>
  <c r="R40" i="1" a="1"/>
  <c r="R40" i="1" s="1"/>
  <c r="R55" i="1" a="1"/>
  <c r="R55" i="1" s="1"/>
  <c r="R39" i="1" a="1"/>
  <c r="R39" i="1" s="1"/>
  <c r="R54" i="1" a="1"/>
  <c r="R54" i="1" s="1"/>
  <c r="R46" i="1" a="1"/>
  <c r="R46" i="1" s="1"/>
  <c r="R38" i="1" a="1"/>
  <c r="R38" i="1" s="1"/>
  <c r="B68" i="1"/>
  <c r="B70" i="1"/>
  <c r="B6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732192-BCBF-49A4-8F2D-2631485367F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A16EA2A-42CA-41DA-B37A-6324B903A504}" name="WorksheetConnection_Book1.xlsx!Table1" type="102" refreshedVersion="8" minRefreshableVersion="5">
    <extLst>
      <ext xmlns:x15="http://schemas.microsoft.com/office/spreadsheetml/2010/11/main" uri="{DE250136-89BD-433C-8126-D09CA5730AF9}">
        <x15:connection id="Table1" autoDelete="1">
          <x15:rangePr sourceName="_xlcn.WorksheetConnection_Book1.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<sst xmlns="http://schemas.openxmlformats.org/spreadsheetml/2006/main" count="259" uniqueCount="108">
  <si>
    <t>CASE STUDY 3 — INVENTORY &amp; SUPPLY CHAIN MANAGEMENT</t>
  </si>
  <si>
    <t>Interviewer Perspective | Frequently used at Amazon, Flipkart, Reliance Retail, FMCG companies | Difficulty: ★★★★☆</t>
  </si>
  <si>
    <t xml:space="preserve">  INTERVIEWER'S NOTE</t>
  </si>
  <si>
    <t xml:space="preserve">  In supply chain roles at Amazon and Reliance, inventory analysis IS the job. I designed this case after watching candidates crumble on the reorder point question — it requires combining business logic with Excel. The pivot table question separates junior from senior candidates. A senior analyst builds a dynamic pivot WITH slicers. A junior analyst just builds a static table. The difference is 2 minutes of work but reveals 3 years of experience.</t>
  </si>
  <si>
    <t xml:space="preserve">  SCENARIO</t>
  </si>
  <si>
    <t xml:space="preserve">  You are an Inventory Analyst at QuickMart (an e-commerce company). The warehouse manager needs a daily stock report. The table below shows 20 SKUs (Stock Keeping Units) with current stock, daily sales rate, lead time, and supplier info. Your job is to build all analysis using Excel — the report goes to the CEO in 90 minutes.</t>
  </si>
  <si>
    <t xml:space="preserve">  DATASET — SKU Inventory Table</t>
  </si>
  <si>
    <t>SKU ID</t>
  </si>
  <si>
    <t>Product Name</t>
  </si>
  <si>
    <t>Category</t>
  </si>
  <si>
    <t>Current Stock</t>
  </si>
  <si>
    <t>Daily Sales Rate</t>
  </si>
  <si>
    <t>Lead Time (days)</t>
  </si>
  <si>
    <t>Unit Cost (₹)</t>
  </si>
  <si>
    <t>Reorder Point</t>
  </si>
  <si>
    <t>Supplier</t>
  </si>
  <si>
    <t>Last Restocked</t>
  </si>
  <si>
    <t>SKU001</t>
  </si>
  <si>
    <t>Laptop 15inch</t>
  </si>
  <si>
    <t>Electronics</t>
  </si>
  <si>
    <t>TechSupply Co</t>
  </si>
  <si>
    <t>2025-01-15</t>
  </si>
  <si>
    <t>SKU002</t>
  </si>
  <si>
    <t>Wireless Mouse</t>
  </si>
  <si>
    <t>2025-02-01</t>
  </si>
  <si>
    <t>SKU003</t>
  </si>
  <si>
    <t>Office Chair</t>
  </si>
  <si>
    <t>Furniture</t>
  </si>
  <si>
    <t>FurniturePro</t>
  </si>
  <si>
    <t>2025-01-20</t>
  </si>
  <si>
    <t>SKU004</t>
  </si>
  <si>
    <t>A4 Paper Ream</t>
  </si>
  <si>
    <t>Stationery</t>
  </si>
  <si>
    <t>PaperMart</t>
  </si>
  <si>
    <t>2025-02-10</t>
  </si>
  <si>
    <t>SKU005</t>
  </si>
  <si>
    <t>USB-C Hub</t>
  </si>
  <si>
    <t>2025-01-28</t>
  </si>
  <si>
    <t>SKU006</t>
  </si>
  <si>
    <t>Standing Desk</t>
  </si>
  <si>
    <t>2024-12-15</t>
  </si>
  <si>
    <t>SKU007</t>
  </si>
  <si>
    <t>Pen Box (12pc)</t>
  </si>
  <si>
    <t>2025-02-08</t>
  </si>
  <si>
    <t>SKU008</t>
  </si>
  <si>
    <t>27inch Monitor</t>
  </si>
  <si>
    <t>2025-01-10</t>
  </si>
  <si>
    <t>SKU009</t>
  </si>
  <si>
    <t>Notebook A5</t>
  </si>
  <si>
    <t>2025-02-12</t>
  </si>
  <si>
    <t>SKU010</t>
  </si>
  <si>
    <t>Ergonomic Keyboard</t>
  </si>
  <si>
    <t>2025-01-30</t>
  </si>
  <si>
    <t>SKU011</t>
  </si>
  <si>
    <t>Whiteboard 4x3</t>
  </si>
  <si>
    <t>2025-01-05</t>
  </si>
  <si>
    <t>SKU012</t>
  </si>
  <si>
    <t>HDMI Cable</t>
  </si>
  <si>
    <t>2025-02-05</t>
  </si>
  <si>
    <t>SKU013</t>
  </si>
  <si>
    <t>Stapler</t>
  </si>
  <si>
    <t>2025-02-03</t>
  </si>
  <si>
    <t>SKU014</t>
  </si>
  <si>
    <t>Webcam HD</t>
  </si>
  <si>
    <t>2025-01-22</t>
  </si>
  <si>
    <t>SKU015</t>
  </si>
  <si>
    <t>Filing Cabinet</t>
  </si>
  <si>
    <t>2024-11-30</t>
  </si>
  <si>
    <t>SKU016</t>
  </si>
  <si>
    <t>Headset</t>
  </si>
  <si>
    <t>2025-01-25</t>
  </si>
  <si>
    <t>SKU017</t>
  </si>
  <si>
    <t>Sticky Notes</t>
  </si>
  <si>
    <t>2025-02-11</t>
  </si>
  <si>
    <t>SKU018</t>
  </si>
  <si>
    <t>Laser Printer</t>
  </si>
  <si>
    <t>2025-01-08</t>
  </si>
  <si>
    <t>SKU019</t>
  </si>
  <si>
    <t>Bookshelf</t>
  </si>
  <si>
    <t>2024-12-20</t>
  </si>
  <si>
    <t>SKU020</t>
  </si>
  <si>
    <t>Toner Cartridge</t>
  </si>
  <si>
    <t>2025-02-07</t>
  </si>
  <si>
    <t xml:space="preserve">  Q1.  Calculate the REORDER POINT for each SKU using the formula: Reorder Point = Daily Sales Rate × Lead Time. Compare it with the given Reorder Point column — are they consistent?</t>
  </si>
  <si>
    <t>Questions</t>
  </si>
  <si>
    <t>Reorder Point = Daily Sales rate * Lead Time</t>
  </si>
  <si>
    <t xml:space="preserve">  Q2.  Identify all SKUs that are BELOW their reorder point right now (Current Stock &lt; Reorder Point). These need URGENT restocking. Create a flag column.</t>
  </si>
  <si>
    <t>Reorder_Point_Mismatch</t>
  </si>
  <si>
    <t>Corrected_Reorder_Point(Additional)</t>
  </si>
  <si>
    <t>Using IFERROR for Error Handling</t>
  </si>
  <si>
    <t xml:space="preserve">  Q3.  Calculate the TOTAL INVENTORY VALUE (Current Stock × Unit Cost) for each SKU. Which category has the highest total inventory value? Use SUMIF.</t>
  </si>
  <si>
    <t>flagging_stock</t>
  </si>
  <si>
    <t>Inventry_Value</t>
  </si>
  <si>
    <t>Summary Table</t>
  </si>
  <si>
    <t>Total_Inventory_Value</t>
  </si>
  <si>
    <t xml:space="preserve">  Q4.  Using a formula, calculate how many DAYS OF STOCK REMAINING for each SKU. Flag items with less than 7 days remaining as 'CRITICAL'. Handle SKUs with zero daily sales (division by zero).</t>
  </si>
  <si>
    <t>Days_of_Stock_Remaining</t>
  </si>
  <si>
    <t>Stock_Status</t>
  </si>
  <si>
    <t xml:space="preserve">  Q5.  The warehouse wants to know the supplier with the MOST SKUs below reorder point. Write a formula to find this supplier name — without using a pivot table.</t>
  </si>
  <si>
    <t>Below_Reorder_Flag</t>
  </si>
  <si>
    <t>below_reorder_supplier</t>
  </si>
  <si>
    <t xml:space="preserve">  Q6.  Build a SUMMARY TABLE (manually or with pivot) showing: Total SKUs, Total Inventory Value, Average Lead Time, and Count of Critical SKUs — broken down by Category.</t>
  </si>
  <si>
    <t>Row Labels</t>
  </si>
  <si>
    <t>Grand Total</t>
  </si>
  <si>
    <t>Count of SKU ID</t>
  </si>
  <si>
    <t>Sum of Inventry_Value</t>
  </si>
  <si>
    <t>Average of Lead Time (days)</t>
  </si>
  <si>
    <t>Count of Stock_Status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</si>
</sst>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0"/>
      <name val="Calibri"/>
      <family val="2"/>
      <scheme val="minor"/>
    </font>
    <font>
      <b/>
      <sz val="11"/>
      <color theme="1"/>
      <name val="Calibri"/>
      <family val="2"/>
      <scheme val="minor"/>
    </font>
    <font>
      <b/>
      <sz val="16"/>
      <color rgb="FFF5A623"/>
      <name val="Calibri"/>
      <family val="2"/>
    </font>
    <font>
      <i/>
      <sz val="9"/>
      <color rgb="FFCCDDEE"/>
      <name val="Calibri"/>
      <family val="2"/>
    </font>
    <font>
      <b/>
      <sz val="10"/>
      <color rgb="FFF5A623"/>
      <name val="Calibri"/>
      <family val="2"/>
    </font>
    <font>
      <i/>
      <sz val="9"/>
      <color rgb="FFFFFFFF"/>
      <name val="Calibri"/>
      <family val="2"/>
    </font>
    <font>
      <b/>
      <sz val="11"/>
      <color rgb="FFFFFFFF"/>
      <name val="Calibri"/>
      <family val="2"/>
    </font>
    <font>
      <sz val="10"/>
      <color rgb="FF1A1A2E"/>
      <name val="Calibri"/>
      <family val="2"/>
    </font>
    <font>
      <b/>
      <sz val="9"/>
      <color rgb="FFFFFFFF"/>
      <name val="Calibri"/>
      <family val="2"/>
    </font>
    <font>
      <sz val="9"/>
      <color rgb="FF1A1A2E"/>
      <name val="Calibri"/>
      <family val="2"/>
    </font>
    <font>
      <b/>
      <sz val="10"/>
      <color rgb="FF1A1A2E"/>
      <name val="Calibri"/>
      <family val="2"/>
    </font>
    <font>
      <b/>
      <u/>
      <sz val="11"/>
      <color theme="1"/>
      <name val="Calibri"/>
      <family val="2"/>
      <scheme val="minor"/>
    </font>
  </fonts>
  <fills count="14">
    <fill>
      <patternFill patternType="none"/>
    </fill>
    <fill>
      <patternFill patternType="gray125"/>
    </fill>
    <fill>
      <patternFill patternType="solid">
        <fgColor rgb="FF1A1A2E"/>
      </patternFill>
    </fill>
    <fill>
      <patternFill patternType="solid">
        <fgColor rgb="FF0F3460"/>
      </patternFill>
    </fill>
    <fill>
      <patternFill patternType="solid">
        <fgColor rgb="FF546E7A"/>
      </patternFill>
    </fill>
    <fill>
      <patternFill patternType="solid">
        <fgColor rgb="FF16213E"/>
      </patternFill>
    </fill>
    <fill>
      <patternFill patternType="solid">
        <fgColor rgb="FFF8F9FA"/>
      </patternFill>
    </fill>
    <fill>
      <patternFill patternType="solid">
        <fgColor rgb="FF2980B9"/>
      </patternFill>
    </fill>
    <fill>
      <patternFill patternType="solid">
        <fgColor rgb="FFFFFFFF"/>
      </patternFill>
    </fill>
    <fill>
      <patternFill patternType="solid">
        <fgColor rgb="FFFFFDE7"/>
      </patternFill>
    </fill>
    <fill>
      <patternFill patternType="solid">
        <fgColor theme="4"/>
        <bgColor theme="4"/>
      </patternFill>
    </fill>
    <fill>
      <patternFill patternType="solid">
        <fgColor theme="4" tint="0.79998168889431442"/>
        <bgColor theme="4" tint="0.79998168889431442"/>
      </patternFill>
    </fill>
    <fill>
      <patternFill patternType="solid">
        <fgColor rgb="FFFFFFFF"/>
        <bgColor indexed="64"/>
      </patternFill>
    </fill>
    <fill>
      <patternFill patternType="solid">
        <fgColor rgb="FF0F3460"/>
        <bgColor indexed="64"/>
      </patternFill>
    </fill>
  </fills>
  <borders count="25">
    <border>
      <left/>
      <right/>
      <top/>
      <bottom/>
      <diagonal/>
    </border>
    <border>
      <left style="thick">
        <color rgb="FF1A1A2E"/>
      </left>
      <right style="thin">
        <color rgb="FFB0BEC5"/>
      </right>
      <top style="thick">
        <color rgb="FF1A1A2E"/>
      </top>
      <bottom style="thin">
        <color rgb="FFB0BEC5"/>
      </bottom>
      <diagonal/>
    </border>
    <border>
      <left style="thin">
        <color rgb="FFB0BEC5"/>
      </left>
      <right style="thin">
        <color rgb="FFB0BEC5"/>
      </right>
      <top style="thick">
        <color rgb="FF1A1A2E"/>
      </top>
      <bottom style="thin">
        <color rgb="FFB0BEC5"/>
      </bottom>
      <diagonal/>
    </border>
    <border>
      <left style="thin">
        <color rgb="FFB0BEC5"/>
      </left>
      <right style="thick">
        <color rgb="FF1A1A2E"/>
      </right>
      <top style="thick">
        <color rgb="FF1A1A2E"/>
      </top>
      <bottom style="thin">
        <color rgb="FFB0BEC5"/>
      </bottom>
      <diagonal/>
    </border>
    <border>
      <left style="thick">
        <color rgb="FF1A1A2E"/>
      </left>
      <right style="thin">
        <color rgb="FFB0BEC5"/>
      </right>
      <top style="thin">
        <color rgb="FFB0BEC5"/>
      </top>
      <bottom style="thin">
        <color rgb="FFB0BEC5"/>
      </bottom>
      <diagonal/>
    </border>
    <border>
      <left style="thin">
        <color rgb="FFB0BEC5"/>
      </left>
      <right style="thin">
        <color rgb="FFB0BEC5"/>
      </right>
      <top style="thin">
        <color rgb="FFB0BEC5"/>
      </top>
      <bottom style="thin">
        <color rgb="FFB0BEC5"/>
      </bottom>
      <diagonal/>
    </border>
    <border>
      <left style="thin">
        <color rgb="FFB0BEC5"/>
      </left>
      <right style="thick">
        <color rgb="FF1A1A2E"/>
      </right>
      <top style="thin">
        <color rgb="FFB0BEC5"/>
      </top>
      <bottom style="thin">
        <color rgb="FFB0BEC5"/>
      </bottom>
      <diagonal/>
    </border>
    <border>
      <left style="thick">
        <color rgb="FF1A1A2E"/>
      </left>
      <right style="thin">
        <color rgb="FFB0BEC5"/>
      </right>
      <top style="thin">
        <color rgb="FFB0BEC5"/>
      </top>
      <bottom style="thick">
        <color rgb="FF1A1A2E"/>
      </bottom>
      <diagonal/>
    </border>
    <border>
      <left style="thin">
        <color rgb="FFB0BEC5"/>
      </left>
      <right style="thin">
        <color rgb="FFB0BEC5"/>
      </right>
      <top style="thin">
        <color rgb="FFB0BEC5"/>
      </top>
      <bottom style="thick">
        <color rgb="FF1A1A2E"/>
      </bottom>
      <diagonal/>
    </border>
    <border>
      <left style="thin">
        <color rgb="FFB0BEC5"/>
      </left>
      <right style="thick">
        <color rgb="FF1A1A2E"/>
      </right>
      <top style="thin">
        <color rgb="FFB0BEC5"/>
      </top>
      <bottom style="thick">
        <color rgb="FF1A1A2E"/>
      </bottom>
      <diagonal/>
    </border>
    <border>
      <left style="thin">
        <color rgb="FFB0BEC5"/>
      </left>
      <right style="thin">
        <color rgb="FFB0BEC5"/>
      </right>
      <top/>
      <bottom style="thin">
        <color rgb="FFB0BEC5"/>
      </bottom>
      <diagonal/>
    </border>
    <border>
      <left/>
      <right style="thin">
        <color rgb="FFB0BEC5"/>
      </right>
      <top style="thin">
        <color rgb="FFB0BEC5"/>
      </top>
      <bottom style="thin">
        <color rgb="FFB0BEC5"/>
      </bottom>
      <diagonal/>
    </border>
    <border>
      <left style="thin">
        <color rgb="FFB0BEC5"/>
      </left>
      <right/>
      <top style="thin">
        <color rgb="FFB0BEC5"/>
      </top>
      <bottom style="thin">
        <color rgb="FFB0BEC5"/>
      </bottom>
      <diagonal/>
    </border>
    <border>
      <left/>
      <right style="thin">
        <color rgb="FFB0BEC5"/>
      </right>
      <top/>
      <bottom style="thin">
        <color rgb="FFB0BEC5"/>
      </bottom>
      <diagonal/>
    </border>
    <border>
      <left style="thin">
        <color rgb="FFB0BEC5"/>
      </left>
      <right/>
      <top/>
      <bottom style="thin">
        <color rgb="FFB0BEC5"/>
      </bottom>
      <diagonal/>
    </border>
    <border>
      <left/>
      <right style="thin">
        <color rgb="FFB0BEC5"/>
      </right>
      <top style="thin">
        <color rgb="FFB0BEC5"/>
      </top>
      <bottom/>
      <diagonal/>
    </border>
    <border>
      <left style="thin">
        <color rgb="FFB0BEC5"/>
      </left>
      <right style="thin">
        <color rgb="FFB0BEC5"/>
      </right>
      <top style="thin">
        <color rgb="FFB0BEC5"/>
      </top>
      <bottom/>
      <diagonal/>
    </border>
    <border>
      <left style="thin">
        <color rgb="FFB0BEC5"/>
      </left>
      <right/>
      <top style="thin">
        <color rgb="FFB0BEC5"/>
      </top>
      <bottom/>
      <diagonal/>
    </border>
    <border>
      <left style="thin">
        <color indexed="64"/>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theme="4" tint="0.39997558519241921"/>
      </top>
      <bottom/>
      <diagonal/>
    </border>
    <border>
      <left/>
      <right style="thin">
        <color indexed="64"/>
      </right>
      <top style="thin">
        <color theme="4" tint="0.39997558519241921"/>
      </top>
      <bottom/>
      <diagonal/>
    </border>
  </borders>
  <cellStyleXfs count="1">
    <xf numFmtId="0" fontId="0" fillId="0" borderId="0"/>
  </cellStyleXfs>
  <cellXfs count="63">
    <xf numFmtId="0" fontId="0" fillId="0" borderId="0" xfId="0"/>
    <xf numFmtId="0" fontId="0" fillId="0" borderId="0" xfId="0"/>
    <xf numFmtId="0" fontId="9"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10" fillId="6" borderId="4" xfId="0" applyFont="1" applyFill="1" applyBorder="1" applyAlignment="1">
      <alignment horizontal="center" vertical="center"/>
    </xf>
    <xf numFmtId="0" fontId="10" fillId="6" borderId="5" xfId="0" applyFont="1" applyFill="1" applyBorder="1" applyAlignment="1">
      <alignment horizontal="left" vertical="center"/>
    </xf>
    <xf numFmtId="0" fontId="10" fillId="6" borderId="5" xfId="0" applyFont="1" applyFill="1" applyBorder="1" applyAlignment="1">
      <alignment horizontal="center" vertical="center"/>
    </xf>
    <xf numFmtId="0" fontId="10" fillId="6" borderId="5" xfId="0" applyFont="1" applyFill="1" applyBorder="1" applyAlignment="1">
      <alignment horizontal="right" vertical="center"/>
    </xf>
    <xf numFmtId="0" fontId="10" fillId="6" borderId="6" xfId="0" applyFont="1" applyFill="1" applyBorder="1" applyAlignment="1">
      <alignment horizontal="center" vertical="center"/>
    </xf>
    <xf numFmtId="0" fontId="10" fillId="8" borderId="4" xfId="0" applyFont="1" applyFill="1" applyBorder="1" applyAlignment="1">
      <alignment horizontal="center" vertical="center"/>
    </xf>
    <xf numFmtId="0" fontId="10" fillId="8" borderId="5" xfId="0" applyFont="1" applyFill="1" applyBorder="1" applyAlignment="1">
      <alignment horizontal="left" vertical="center"/>
    </xf>
    <xf numFmtId="0" fontId="10" fillId="8" borderId="5" xfId="0" applyFont="1" applyFill="1" applyBorder="1" applyAlignment="1">
      <alignment horizontal="center" vertical="center"/>
    </xf>
    <xf numFmtId="0" fontId="10" fillId="8" borderId="5" xfId="0" applyFont="1" applyFill="1" applyBorder="1" applyAlignment="1">
      <alignment horizontal="right" vertical="center"/>
    </xf>
    <xf numFmtId="0" fontId="10" fillId="8" borderId="6" xfId="0" applyFont="1" applyFill="1" applyBorder="1" applyAlignment="1">
      <alignment horizontal="center" vertical="center"/>
    </xf>
    <xf numFmtId="0" fontId="10" fillId="8" borderId="7" xfId="0" applyFont="1" applyFill="1" applyBorder="1" applyAlignment="1">
      <alignment horizontal="center" vertical="center"/>
    </xf>
    <xf numFmtId="0" fontId="10" fillId="8" borderId="8" xfId="0" applyFont="1" applyFill="1" applyBorder="1" applyAlignment="1">
      <alignment horizontal="left" vertical="center"/>
    </xf>
    <xf numFmtId="0" fontId="10" fillId="8" borderId="8" xfId="0" applyFont="1" applyFill="1" applyBorder="1" applyAlignment="1">
      <alignment horizontal="center" vertical="center"/>
    </xf>
    <xf numFmtId="0" fontId="10" fillId="8" borderId="8" xfId="0" applyFont="1" applyFill="1" applyBorder="1" applyAlignment="1">
      <alignment horizontal="right" vertical="center"/>
    </xf>
    <xf numFmtId="0" fontId="10" fillId="8" borderId="9" xfId="0" applyFont="1" applyFill="1" applyBorder="1" applyAlignment="1">
      <alignment horizontal="center" vertical="center"/>
    </xf>
    <xf numFmtId="0" fontId="11" fillId="9" borderId="0" xfId="0" applyFont="1" applyFill="1" applyAlignment="1">
      <alignment horizontal="left" vertical="center" wrapText="1"/>
    </xf>
    <xf numFmtId="0" fontId="3" fillId="2" borderId="0" xfId="0" applyFont="1" applyFill="1" applyAlignment="1">
      <alignment horizontal="left" vertical="center"/>
    </xf>
    <xf numFmtId="0" fontId="0" fillId="0" borderId="0" xfId="0" applyAlignment="1">
      <alignment vertical="center"/>
    </xf>
    <xf numFmtId="0" fontId="0" fillId="0" borderId="0" xfId="0" applyAlignment="1">
      <alignment vertical="center"/>
    </xf>
    <xf numFmtId="0" fontId="4" fillId="3" borderId="0" xfId="0" applyFont="1" applyFill="1" applyAlignment="1">
      <alignment horizontal="left" vertical="center"/>
    </xf>
    <xf numFmtId="0" fontId="5" fillId="2" borderId="0" xfId="0" applyFont="1" applyFill="1" applyAlignment="1">
      <alignment horizontal="left" vertical="center"/>
    </xf>
    <xf numFmtId="0" fontId="6" fillId="4" borderId="0" xfId="0" applyFont="1" applyFill="1" applyAlignment="1">
      <alignment horizontal="left" vertical="center" wrapText="1"/>
    </xf>
    <xf numFmtId="0" fontId="7" fillId="5" borderId="0" xfId="0" applyFont="1" applyFill="1" applyAlignment="1">
      <alignment horizontal="left" vertical="center"/>
    </xf>
    <xf numFmtId="0" fontId="8" fillId="6" borderId="0" xfId="0" applyFont="1" applyFill="1" applyAlignment="1">
      <alignment horizontal="left" vertical="center" wrapText="1"/>
    </xf>
    <xf numFmtId="0" fontId="7" fillId="7" borderId="1" xfId="0" applyFont="1" applyFill="1" applyBorder="1" applyAlignment="1">
      <alignment horizontal="left" vertical="center"/>
    </xf>
    <xf numFmtId="0" fontId="0" fillId="0" borderId="2" xfId="0" applyBorder="1" applyAlignment="1">
      <alignment vertical="center"/>
    </xf>
    <xf numFmtId="0" fontId="0" fillId="0" borderId="3" xfId="0" applyBorder="1" applyAlignment="1">
      <alignment vertical="center"/>
    </xf>
    <xf numFmtId="0" fontId="12" fillId="0" borderId="0" xfId="0" applyFont="1" applyAlignment="1">
      <alignment horizontal="center" vertical="center"/>
    </xf>
    <xf numFmtId="0" fontId="10" fillId="6" borderId="11" xfId="0" applyFont="1" applyFill="1" applyBorder="1" applyAlignment="1">
      <alignment horizontal="center" vertical="center"/>
    </xf>
    <xf numFmtId="0" fontId="10" fillId="8" borderId="11" xfId="0" applyFont="1" applyFill="1" applyBorder="1" applyAlignment="1">
      <alignment horizontal="center" vertical="center"/>
    </xf>
    <xf numFmtId="0" fontId="10" fillId="6" borderId="12" xfId="0" applyFont="1" applyFill="1" applyBorder="1" applyAlignment="1">
      <alignment horizontal="center" vertical="center"/>
    </xf>
    <xf numFmtId="0" fontId="10" fillId="8" borderId="12" xfId="0" applyFont="1" applyFill="1" applyBorder="1" applyAlignment="1">
      <alignment horizontal="center" vertical="center"/>
    </xf>
    <xf numFmtId="0" fontId="9" fillId="3" borderId="13"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10" fillId="8" borderId="15" xfId="0" applyFont="1" applyFill="1" applyBorder="1" applyAlignment="1">
      <alignment horizontal="center" vertical="center"/>
    </xf>
    <xf numFmtId="0" fontId="10" fillId="8" borderId="16" xfId="0" applyFont="1" applyFill="1" applyBorder="1" applyAlignment="1">
      <alignment horizontal="left" vertical="center"/>
    </xf>
    <xf numFmtId="0" fontId="10" fillId="8" borderId="16" xfId="0" applyFont="1" applyFill="1" applyBorder="1" applyAlignment="1">
      <alignment horizontal="center" vertical="center"/>
    </xf>
    <xf numFmtId="0" fontId="10" fillId="8" borderId="16" xfId="0" applyFont="1" applyFill="1" applyBorder="1" applyAlignment="1">
      <alignment horizontal="right" vertical="center"/>
    </xf>
    <xf numFmtId="0" fontId="10" fillId="8" borderId="17" xfId="0" applyFont="1" applyFill="1" applyBorder="1" applyAlignment="1">
      <alignment horizontal="center" vertical="center"/>
    </xf>
    <xf numFmtId="0" fontId="2" fillId="0" borderId="0" xfId="0" applyFont="1" applyAlignment="1">
      <alignment vertical="center"/>
    </xf>
    <xf numFmtId="0" fontId="10" fillId="12" borderId="5" xfId="0" applyFont="1" applyFill="1" applyBorder="1" applyAlignment="1">
      <alignment horizontal="right" vertical="center"/>
    </xf>
    <xf numFmtId="0" fontId="10" fillId="12" borderId="10" xfId="0" applyFont="1" applyFill="1" applyBorder="1" applyAlignment="1">
      <alignment horizontal="right" vertical="center"/>
    </xf>
    <xf numFmtId="0" fontId="10" fillId="12" borderId="16" xfId="0" applyFont="1" applyFill="1" applyBorder="1" applyAlignment="1">
      <alignment horizontal="right" vertical="center"/>
    </xf>
    <xf numFmtId="0" fontId="9" fillId="13" borderId="10" xfId="0" applyFont="1" applyFill="1" applyBorder="1" applyAlignment="1">
      <alignment horizontal="center" vertical="center" wrapText="1"/>
    </xf>
    <xf numFmtId="0" fontId="10" fillId="12" borderId="0" xfId="0" applyFont="1" applyFill="1" applyAlignment="1">
      <alignment horizontal="right" vertical="center"/>
    </xf>
    <xf numFmtId="0" fontId="1" fillId="10" borderId="20" xfId="0" applyFont="1" applyFill="1" applyBorder="1" applyAlignment="1">
      <alignment vertical="center"/>
    </xf>
    <xf numFmtId="0" fontId="1" fillId="10" borderId="22" xfId="0" applyFont="1" applyFill="1" applyBorder="1" applyAlignment="1">
      <alignment vertical="center"/>
    </xf>
    <xf numFmtId="0" fontId="0" fillId="11" borderId="20" xfId="0" applyFont="1" applyFill="1" applyBorder="1" applyAlignment="1">
      <alignment vertical="center"/>
    </xf>
    <xf numFmtId="0" fontId="0" fillId="11" borderId="21" xfId="0" applyFont="1" applyFill="1" applyBorder="1" applyAlignment="1">
      <alignment vertical="center"/>
    </xf>
    <xf numFmtId="0" fontId="0" fillId="0" borderId="23" xfId="0" applyFont="1" applyBorder="1" applyAlignment="1">
      <alignment vertical="center"/>
    </xf>
    <xf numFmtId="0" fontId="0" fillId="0" borderId="24" xfId="0" applyFont="1" applyBorder="1" applyAlignment="1">
      <alignment vertical="center"/>
    </xf>
    <xf numFmtId="0" fontId="0" fillId="11" borderId="18" xfId="0" applyFont="1" applyFill="1" applyBorder="1" applyAlignment="1">
      <alignment vertical="center"/>
    </xf>
    <xf numFmtId="0" fontId="0" fillId="11" borderId="19" xfId="0" applyFont="1" applyFill="1" applyBorder="1" applyAlignment="1">
      <alignment vertical="center"/>
    </xf>
    <xf numFmtId="0" fontId="10" fillId="12" borderId="0" xfId="0" applyNumberFormat="1" applyFont="1" applyFill="1" applyAlignment="1">
      <alignment horizontal="right"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3">
    <dxf>
      <font>
        <b val="0"/>
        <i val="0"/>
        <strike val="0"/>
        <condense val="0"/>
        <extend val="0"/>
        <outline val="0"/>
        <shadow val="0"/>
        <u val="none"/>
        <vertAlign val="baseline"/>
        <sz val="9"/>
        <color rgb="FF1A1A2E"/>
        <name val="Calibri"/>
        <family val="2"/>
        <scheme val="none"/>
      </font>
      <numFmt numFmtId="0" formatCode="General"/>
      <fill>
        <patternFill patternType="solid">
          <fgColor indexed="64"/>
          <bgColor rgb="FFFFFFFF"/>
        </patternFill>
      </fill>
      <alignment horizontal="right" vertical="center" textRotation="0" wrapText="0" indent="0" justifyLastLine="0" shrinkToFit="0" readingOrder="0"/>
    </dxf>
    <dxf>
      <font>
        <b val="0"/>
        <i val="0"/>
        <strike val="0"/>
        <condense val="0"/>
        <extend val="0"/>
        <outline val="0"/>
        <shadow val="0"/>
        <u val="none"/>
        <vertAlign val="baseline"/>
        <sz val="9"/>
        <color rgb="FF1A1A2E"/>
        <name val="Calibri"/>
        <family val="2"/>
        <scheme val="none"/>
      </font>
      <numFmt numFmtId="0" formatCode="General"/>
      <fill>
        <patternFill patternType="solid">
          <fgColor indexed="64"/>
          <bgColor rgb="FFFFFFFF"/>
        </patternFill>
      </fill>
      <alignment horizontal="right" vertical="center" textRotation="0" wrapText="0" indent="0" justifyLastLine="0" shrinkToFit="0" readingOrder="0"/>
    </dxf>
    <dxf>
      <font>
        <b val="0"/>
        <i val="0"/>
        <strike val="0"/>
        <condense val="0"/>
        <extend val="0"/>
        <outline val="0"/>
        <shadow val="0"/>
        <u val="none"/>
        <vertAlign val="baseline"/>
        <sz val="9"/>
        <color rgb="FF1A1A2E"/>
        <name val="Calibri"/>
        <family val="2"/>
        <scheme val="none"/>
      </font>
      <numFmt numFmtId="0" formatCode="General"/>
      <fill>
        <patternFill patternType="solid">
          <fgColor indexed="64"/>
          <bgColor rgb="FFFFFFFF"/>
        </patternFill>
      </fill>
      <alignment horizontal="right" vertical="center" textRotation="0" wrapText="0" indent="0" justifyLastLine="0" shrinkToFit="0" readingOrder="0"/>
    </dxf>
    <dxf>
      <font>
        <b val="0"/>
        <i val="0"/>
        <strike val="0"/>
        <condense val="0"/>
        <extend val="0"/>
        <outline val="0"/>
        <shadow val="0"/>
        <u val="none"/>
        <vertAlign val="baseline"/>
        <sz val="9"/>
        <color rgb="FF1A1A2E"/>
        <name val="Calibri"/>
        <family val="2"/>
        <scheme val="none"/>
      </font>
      <numFmt numFmtId="0" formatCode="General"/>
      <fill>
        <patternFill patternType="solid">
          <fgColor indexed="64"/>
          <bgColor rgb="FFFFFFFF"/>
        </patternFill>
      </fill>
      <alignment horizontal="right" vertical="center" textRotation="0" wrapText="0" indent="0" justifyLastLine="0" shrinkToFit="0" readingOrder="0"/>
    </dxf>
    <dxf>
      <font>
        <b val="0"/>
        <i val="0"/>
        <strike val="0"/>
        <condense val="0"/>
        <extend val="0"/>
        <outline val="0"/>
        <shadow val="0"/>
        <u val="none"/>
        <vertAlign val="baseline"/>
        <sz val="9"/>
        <color rgb="FF1A1A2E"/>
        <name val="Calibri"/>
        <family val="2"/>
        <scheme val="none"/>
      </font>
      <numFmt numFmtId="0" formatCode="General"/>
      <fill>
        <patternFill patternType="solid">
          <fgColor indexed="64"/>
          <bgColor rgb="FFFFFFFF"/>
        </patternFill>
      </fill>
      <alignment horizontal="right" vertical="center" textRotation="0" wrapText="0" indent="0" justifyLastLine="0" shrinkToFit="0" readingOrder="0"/>
    </dxf>
    <dxf>
      <font>
        <b val="0"/>
        <i val="0"/>
        <strike val="0"/>
        <condense val="0"/>
        <extend val="0"/>
        <outline val="0"/>
        <shadow val="0"/>
        <u val="none"/>
        <vertAlign val="baseline"/>
        <sz val="9"/>
        <color rgb="FF1A1A2E"/>
        <name val="Calibri"/>
        <family val="2"/>
        <scheme val="none"/>
      </font>
      <numFmt numFmtId="0" formatCode="General"/>
      <fill>
        <patternFill patternType="solid">
          <fgColor indexed="64"/>
          <bgColor rgb="FFFFFFFF"/>
        </patternFill>
      </fill>
      <alignment horizontal="right" vertical="center" textRotation="0" wrapText="0" indent="0" justifyLastLine="0" shrinkToFit="0" readingOrder="0"/>
    </dxf>
    <dxf>
      <font>
        <b val="0"/>
        <i val="0"/>
        <strike val="0"/>
        <condense val="0"/>
        <extend val="0"/>
        <outline val="0"/>
        <shadow val="0"/>
        <u val="none"/>
        <vertAlign val="baseline"/>
        <sz val="9"/>
        <color rgb="FF1A1A2E"/>
        <name val="Calibri"/>
        <family val="2"/>
        <scheme val="none"/>
      </font>
      <numFmt numFmtId="0" formatCode="General"/>
      <fill>
        <patternFill patternType="solid">
          <fgColor indexed="64"/>
          <bgColor rgb="FFFFFFFF"/>
        </patternFill>
      </fill>
      <alignment horizontal="right" vertical="center" textRotation="0" wrapText="0" indent="0" justifyLastLine="0" shrinkToFit="0" readingOrder="0"/>
    </dxf>
    <dxf>
      <font>
        <b val="0"/>
        <i val="0"/>
        <strike val="0"/>
        <condense val="0"/>
        <extend val="0"/>
        <outline val="0"/>
        <shadow val="0"/>
        <u val="none"/>
        <vertAlign val="baseline"/>
        <sz val="9"/>
        <color rgb="FF1A1A2E"/>
        <name val="Calibri"/>
        <family val="2"/>
        <scheme val="none"/>
      </font>
      <numFmt numFmtId="0" formatCode="General"/>
      <fill>
        <patternFill patternType="solid">
          <fgColor indexed="64"/>
          <bgColor rgb="FFFFFFFF"/>
        </patternFill>
      </fill>
      <alignment horizontal="right" vertical="center" textRotation="0" wrapText="0" indent="0" justifyLastLine="0" shrinkToFit="0" readingOrder="0"/>
      <border diagonalUp="0" diagonalDown="0">
        <left style="thin">
          <color rgb="FFB0BEC5"/>
        </left>
        <right style="thin">
          <color rgb="FFB0BEC5"/>
        </right>
        <top style="thin">
          <color rgb="FFB0BEC5"/>
        </top>
        <bottom style="thin">
          <color rgb="FFB0BEC5"/>
        </bottom>
        <vertical/>
        <horizontal/>
      </border>
    </dxf>
    <dxf>
      <font>
        <b/>
        <i val="0"/>
        <strike val="0"/>
        <condense val="0"/>
        <extend val="0"/>
        <outline val="0"/>
        <shadow val="0"/>
        <u val="none"/>
        <vertAlign val="baseline"/>
        <sz val="9"/>
        <color rgb="FFFFFFFF"/>
        <name val="Calibri"/>
        <family val="2"/>
        <scheme val="none"/>
      </font>
      <fill>
        <patternFill patternType="solid">
          <fgColor indexed="64"/>
          <bgColor rgb="FF0F3460"/>
        </patternFill>
      </fill>
      <alignment horizontal="center" vertical="center" textRotation="0" wrapText="1" indent="0" justifyLastLine="0" shrinkToFit="0" readingOrder="0"/>
      <border diagonalUp="0" diagonalDown="0" outline="0">
        <left style="thin">
          <color rgb="FFB0BEC5"/>
        </left>
        <right style="thin">
          <color rgb="FFB0BEC5"/>
        </right>
        <top/>
        <bottom/>
      </border>
    </dxf>
    <dxf>
      <font>
        <b val="0"/>
        <i val="0"/>
        <strike val="0"/>
        <condense val="0"/>
        <extend val="0"/>
        <outline val="0"/>
        <shadow val="0"/>
        <u val="none"/>
        <vertAlign val="baseline"/>
        <sz val="9"/>
        <color rgb="FF1A1A2E"/>
        <name val="Calibri"/>
        <family val="2"/>
        <scheme val="none"/>
      </font>
      <fill>
        <patternFill patternType="solid">
          <fgColor indexed="64"/>
          <bgColor rgb="FFFFFFFF"/>
        </patternFill>
      </fill>
      <alignment horizontal="right" vertical="center" textRotation="0" wrapText="0" indent="0" justifyLastLine="0" shrinkToFit="0" readingOrder="0"/>
    </dxf>
    <dxf>
      <font>
        <b val="0"/>
        <i val="0"/>
        <strike val="0"/>
        <condense val="0"/>
        <extend val="0"/>
        <outline val="0"/>
        <shadow val="0"/>
        <u val="none"/>
        <vertAlign val="baseline"/>
        <sz val="9"/>
        <color rgb="FF1A1A2E"/>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0BEC5"/>
        </left>
        <right/>
        <top style="thin">
          <color rgb="FFB0BEC5"/>
        </top>
        <bottom style="thin">
          <color rgb="FFB0BEC5"/>
        </bottom>
        <vertical/>
        <horizontal/>
      </border>
    </dxf>
    <dxf>
      <font>
        <b val="0"/>
        <i val="0"/>
        <strike val="0"/>
        <condense val="0"/>
        <extend val="0"/>
        <outline val="0"/>
        <shadow val="0"/>
        <u val="none"/>
        <vertAlign val="baseline"/>
        <sz val="9"/>
        <color rgb="FF1A1A2E"/>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0BEC5"/>
        </left>
        <right style="thin">
          <color rgb="FFB0BEC5"/>
        </right>
        <top style="thin">
          <color rgb="FFB0BEC5"/>
        </top>
        <bottom style="thin">
          <color rgb="FFB0BEC5"/>
        </bottom>
        <vertical/>
        <horizontal/>
      </border>
    </dxf>
    <dxf>
      <font>
        <b val="0"/>
        <i val="0"/>
        <strike val="0"/>
        <condense val="0"/>
        <extend val="0"/>
        <outline val="0"/>
        <shadow val="0"/>
        <u val="none"/>
        <vertAlign val="baseline"/>
        <sz val="9"/>
        <color rgb="FF1A1A2E"/>
        <name val="Calibri"/>
        <family val="2"/>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rgb="FFB0BEC5"/>
        </left>
        <right style="thin">
          <color rgb="FFB0BEC5"/>
        </right>
        <top style="thin">
          <color rgb="FFB0BEC5"/>
        </top>
        <bottom style="thin">
          <color rgb="FFB0BEC5"/>
        </bottom>
        <vertical/>
        <horizontal/>
      </border>
    </dxf>
    <dxf>
      <font>
        <b val="0"/>
        <i val="0"/>
        <strike val="0"/>
        <condense val="0"/>
        <extend val="0"/>
        <outline val="0"/>
        <shadow val="0"/>
        <u val="none"/>
        <vertAlign val="baseline"/>
        <sz val="9"/>
        <color rgb="FF1A1A2E"/>
        <name val="Calibri"/>
        <family val="2"/>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rgb="FFB0BEC5"/>
        </left>
        <right style="thin">
          <color rgb="FFB0BEC5"/>
        </right>
        <top style="thin">
          <color rgb="FFB0BEC5"/>
        </top>
        <bottom style="thin">
          <color rgb="FFB0BEC5"/>
        </bottom>
        <vertical/>
        <horizontal/>
      </border>
    </dxf>
    <dxf>
      <font>
        <b val="0"/>
        <i val="0"/>
        <strike val="0"/>
        <condense val="0"/>
        <extend val="0"/>
        <outline val="0"/>
        <shadow val="0"/>
        <u val="none"/>
        <vertAlign val="baseline"/>
        <sz val="9"/>
        <color rgb="FF1A1A2E"/>
        <name val="Calibri"/>
        <family val="2"/>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rgb="FFB0BEC5"/>
        </left>
        <right style="thin">
          <color rgb="FFB0BEC5"/>
        </right>
        <top style="thin">
          <color rgb="FFB0BEC5"/>
        </top>
        <bottom style="thin">
          <color rgb="FFB0BEC5"/>
        </bottom>
        <vertical/>
        <horizontal/>
      </border>
    </dxf>
    <dxf>
      <font>
        <b val="0"/>
        <i val="0"/>
        <strike val="0"/>
        <condense val="0"/>
        <extend val="0"/>
        <outline val="0"/>
        <shadow val="0"/>
        <u val="none"/>
        <vertAlign val="baseline"/>
        <sz val="9"/>
        <color rgb="FF1A1A2E"/>
        <name val="Calibri"/>
        <family val="2"/>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rgb="FFB0BEC5"/>
        </left>
        <right style="thin">
          <color rgb="FFB0BEC5"/>
        </right>
        <top style="thin">
          <color rgb="FFB0BEC5"/>
        </top>
        <bottom style="thin">
          <color rgb="FFB0BEC5"/>
        </bottom>
        <vertical/>
        <horizontal/>
      </border>
    </dxf>
    <dxf>
      <font>
        <b val="0"/>
        <i val="0"/>
        <strike val="0"/>
        <condense val="0"/>
        <extend val="0"/>
        <outline val="0"/>
        <shadow val="0"/>
        <u val="none"/>
        <vertAlign val="baseline"/>
        <sz val="9"/>
        <color rgb="FF1A1A2E"/>
        <name val="Calibri"/>
        <family val="2"/>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rgb="FFB0BEC5"/>
        </left>
        <right style="thin">
          <color rgb="FFB0BEC5"/>
        </right>
        <top style="thin">
          <color rgb="FFB0BEC5"/>
        </top>
        <bottom style="thin">
          <color rgb="FFB0BEC5"/>
        </bottom>
        <vertical/>
        <horizontal/>
      </border>
    </dxf>
    <dxf>
      <font>
        <b val="0"/>
        <i val="0"/>
        <strike val="0"/>
        <condense val="0"/>
        <extend val="0"/>
        <outline val="0"/>
        <shadow val="0"/>
        <u val="none"/>
        <vertAlign val="baseline"/>
        <sz val="9"/>
        <color rgb="FF1A1A2E"/>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left style="thin">
          <color rgb="FFB0BEC5"/>
        </left>
        <right style="thin">
          <color rgb="FFB0BEC5"/>
        </right>
        <top style="thin">
          <color rgb="FFB0BEC5"/>
        </top>
        <bottom style="thin">
          <color rgb="FFB0BEC5"/>
        </bottom>
        <vertical/>
        <horizontal/>
      </border>
    </dxf>
    <dxf>
      <font>
        <b val="0"/>
        <i val="0"/>
        <strike val="0"/>
        <condense val="0"/>
        <extend val="0"/>
        <outline val="0"/>
        <shadow val="0"/>
        <u val="none"/>
        <vertAlign val="baseline"/>
        <sz val="9"/>
        <color rgb="FF1A1A2E"/>
        <name val="Calibri"/>
        <family val="2"/>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B0BEC5"/>
        </left>
        <right style="thin">
          <color rgb="FFB0BEC5"/>
        </right>
        <top style="thin">
          <color rgb="FFB0BEC5"/>
        </top>
        <bottom style="thin">
          <color rgb="FFB0BEC5"/>
        </bottom>
        <vertical/>
        <horizontal/>
      </border>
    </dxf>
    <dxf>
      <font>
        <b val="0"/>
        <i val="0"/>
        <strike val="0"/>
        <condense val="0"/>
        <extend val="0"/>
        <outline val="0"/>
        <shadow val="0"/>
        <u val="none"/>
        <vertAlign val="baseline"/>
        <sz val="9"/>
        <color rgb="FF1A1A2E"/>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left/>
        <right style="thin">
          <color rgb="FFB0BEC5"/>
        </right>
        <top style="thin">
          <color rgb="FFB0BEC5"/>
        </top>
        <bottom style="thin">
          <color rgb="FFB0BEC5"/>
        </bottom>
        <vertical/>
        <horizontal/>
      </border>
    </dxf>
    <dxf>
      <border outline="0">
        <top style="thin">
          <color rgb="FFB0BEC5"/>
        </top>
      </border>
    </dxf>
    <dxf>
      <border outline="0">
        <bottom style="thin">
          <color rgb="FFB0BEC5"/>
        </bottom>
      </border>
    </dxf>
    <dxf>
      <border outline="0">
        <left style="thick">
          <color rgb="FF1A1A2E"/>
        </left>
        <right style="thick">
          <color rgb="FF1A1A2E"/>
        </right>
        <top style="thin">
          <color rgb="FFB0BEC5"/>
        </top>
        <bottom style="thick">
          <color rgb="FF1A1A2E"/>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owerPivotData" Target="model/item.data"/><Relationship Id="rId3" Type="http://schemas.openxmlformats.org/officeDocument/2006/relationships/theme" Target="theme/theme1.xml"/><Relationship Id="rId7" Type="http://schemas.openxmlformats.org/officeDocument/2006/relationships/sheetMetadata" Target="metadata.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 Id="rId9" Type="http://schemas.openxmlformats.org/officeDocument/2006/relationships/calcChain" Target="calcChain.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 refreshedDate="46198.958002314816" backgroundQuery="1" createdVersion="8" refreshedVersion="8" minRefreshableVersion="3" recordCount="0" supportSubquery="1" supportAdvancedDrill="1" xr:uid="{F65BADAE-5E12-477F-BEE6-718D7E4D4A81}">
  <cacheSource type="external" connectionId="1"/>
  <cacheFields count="5">
    <cacheField name="[Table1].[Category].[Category]" caption="Category" numFmtId="0" hierarchy="2" level="1">
      <sharedItems count="3">
        <s v="Electronics"/>
        <s v="Furniture"/>
        <s v="Stationery"/>
      </sharedItems>
    </cacheField>
    <cacheField name="[Measures].[Count of SKU ID]" caption="Count of SKU ID" numFmtId="0" hierarchy="18" level="32767"/>
    <cacheField name="[Measures].[Sum of Inventry_Value]" caption="Sum of Inventry_Value" numFmtId="0" hierarchy="19" level="32767"/>
    <cacheField name="[Measures].[Average of Lead Time (days)]" caption="Average of Lead Time (days)" numFmtId="0" hierarchy="21" level="32767"/>
    <cacheField name="[Measures].[Count of Stock_Status]" caption="Count of Stock_Status" numFmtId="0" hierarchy="22" level="32767"/>
  </cacheFields>
  <cacheHierarchies count="26">
    <cacheHierarchy uniqueName="[Table1].[SKU ID]" caption="SKU ID" attribute="1" defaultMemberUniqueName="[Table1].[SKU ID].[All]" allUniqueName="[Table1].[SKU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Current Stock]" caption="Current Stock" attribute="1" defaultMemberUniqueName="[Table1].[Current Stock].[All]" allUniqueName="[Table1].[Current Stock].[All]" dimensionUniqueName="[Table1]" displayFolder="" count="0" memberValueDatatype="20" unbalanced="0"/>
    <cacheHierarchy uniqueName="[Table1].[Daily Sales Rate]" caption="Daily Sales Rate" attribute="1" defaultMemberUniqueName="[Table1].[Daily Sales Rate].[All]" allUniqueName="[Table1].[Daily Sales Rate].[All]" dimensionUniqueName="[Table1]" displayFolder="" count="0" memberValueDatatype="20" unbalanced="0"/>
    <cacheHierarchy uniqueName="[Table1].[Lead Time (days)]" caption="Lead Time (days)" attribute="1" defaultMemberUniqueName="[Table1].[Lead Time (days)].[All]" allUniqueName="[Table1].[Lead Time (days)].[All]" dimensionUniqueName="[Table1]" displayFolder="" count="0" memberValueDatatype="20" unbalanced="0"/>
    <cacheHierarchy uniqueName="[Table1].[Unit Cost (₹)]" caption="Unit Cost (₹)" attribute="1" defaultMemberUniqueName="[Table1].[Unit Cost (₹)].[All]" allUniqueName="[Table1].[Unit Cost (₹)].[All]" dimensionUniqueName="[Table1]" displayFolder="" count="0" memberValueDatatype="20" unbalanced="0"/>
    <cacheHierarchy uniqueName="[Table1].[Reorder Point]" caption="Reorder Point" attribute="1" defaultMemberUniqueName="[Table1].[Reorder Point].[All]" allUniqueName="[Table1].[Reorder Point].[All]" dimensionUniqueName="[Table1]" displayFolder="" count="0" memberValueDatatype="20" unbalanced="0"/>
    <cacheHierarchy uniqueName="[Table1].[Supplier]" caption="Supplier" attribute="1" defaultMemberUniqueName="[Table1].[Supplier].[All]" allUniqueName="[Table1].[Supplier].[All]" dimensionUniqueName="[Table1]" displayFolder="" count="0" memberValueDatatype="130" unbalanced="0"/>
    <cacheHierarchy uniqueName="[Table1].[Last Restocked]" caption="Last Restocked" attribute="1" defaultMemberUniqueName="[Table1].[Last Restocked].[All]" allUniqueName="[Table1].[Last Restocked].[All]" dimensionUniqueName="[Table1]" displayFolder="" count="0" memberValueDatatype="130" unbalanced="0"/>
    <cacheHierarchy uniqueName="[Table1].[Reorder_Point_Mismatch]" caption="Reorder_Point_Mismatch" attribute="1" defaultMemberUniqueName="[Table1].[Reorder_Point_Mismatch].[All]" allUniqueName="[Table1].[Reorder_Point_Mismatch].[All]" dimensionUniqueName="[Table1]" displayFolder="" count="0" memberValueDatatype="130" unbalanced="0"/>
    <cacheHierarchy uniqueName="[Table1].[Corrected_Reorder_Point(Additional)]" caption="Corrected_Reorder_Point(Additional)" attribute="1" defaultMemberUniqueName="[Table1].[Corrected_Reorder_Point(Additional)].[All]" allUniqueName="[Table1].[Corrected_Reorder_Point(Additional)].[All]" dimensionUniqueName="[Table1]" displayFolder="" count="0" memberValueDatatype="20" unbalanced="0"/>
    <cacheHierarchy uniqueName="[Table1].[flagging_stock]" caption="flagging_stock" attribute="1" defaultMemberUniqueName="[Table1].[flagging_stock].[All]" allUniqueName="[Table1].[flagging_stock].[All]" dimensionUniqueName="[Table1]" displayFolder="" count="0" memberValueDatatype="130" unbalanced="0"/>
    <cacheHierarchy uniqueName="[Table1].[Inventry_Value]" caption="Inventry_Value" attribute="1" defaultMemberUniqueName="[Table1].[Inventry_Value].[All]" allUniqueName="[Table1].[Inventry_Value].[All]" dimensionUniqueName="[Table1]" displayFolder="" count="0" memberValueDatatype="20" unbalanced="0"/>
    <cacheHierarchy uniqueName="[Table1].[Days_of_Stock_Remaining]" caption="Days_of_Stock_Remaining" attribute="1" defaultMemberUniqueName="[Table1].[Days_of_Stock_Remaining].[All]" allUniqueName="[Table1].[Days_of_Stock_Remaining].[All]" dimensionUniqueName="[Table1]" displayFolder="" count="0" memberValueDatatype="5" unbalanced="0"/>
    <cacheHierarchy uniqueName="[Table1].[Stock_Status]" caption="Stock_Status" attribute="1" defaultMemberUniqueName="[Table1].[Stock_Status].[All]" allUniqueName="[Table1].[Stock_Status].[All]" dimensionUniqueName="[Table1]" displayFolder="" count="0" memberValueDatatype="130" unbalanced="0"/>
    <cacheHierarchy uniqueName="[Table1].[Below_Reorder_Flag]" caption="Below_Reorder_Flag" attribute="1" defaultMemberUniqueName="[Table1].[Below_Reorder_Flag].[All]" allUniqueName="[Table1].[Below_Reorder_Flag].[All]" dimensionUniqueName="[Table1]" displayFolder="" count="0" memberValueDatatype="20" unbalanced="0"/>
    <cacheHierarchy uniqueName="[Table1].[below_reorder_supplier]" caption="below_reorder_supplier" attribute="1" defaultMemberUniqueName="[Table1].[below_reorder_supplier].[All]" allUniqueName="[Table1].[below_reorder_supplier].[All]" dimensionUniqueName="[Table1]" displayFolder="" count="0" memberValueDatatype="130" unbalanced="0"/>
    <cacheHierarchy uniqueName="[Measures].[Count of SKU ID]" caption="Count of SKU ID" measure="1" displayFolder="" measureGroup="Table1" count="0" oneField="1">
      <fieldsUsage count="1">
        <fieldUsage x="1"/>
      </fieldsUsage>
      <extLst>
        <ext xmlns:x15="http://schemas.microsoft.com/office/spreadsheetml/2010/11/main" uri="{B97F6D7D-B522-45F9-BDA1-12C45D357490}">
          <x15:cacheHierarchy aggregatedColumn="0"/>
        </ext>
      </extLst>
    </cacheHierarchy>
    <cacheHierarchy uniqueName="[Measures].[Sum of Inventry_Value]" caption="Sum of Inventry_Value" measure="1" displayFolder="" measureGroup="Table1" count="0" oneField="1">
      <fieldsUsage count="1">
        <fieldUsage x="2"/>
      </fieldsUsage>
      <extLst>
        <ext xmlns:x15="http://schemas.microsoft.com/office/spreadsheetml/2010/11/main" uri="{B97F6D7D-B522-45F9-BDA1-12C45D357490}">
          <x15:cacheHierarchy aggregatedColumn="13"/>
        </ext>
      </extLst>
    </cacheHierarchy>
    <cacheHierarchy uniqueName="[Measures].[Sum of Lead Time (days)]" caption="Sum of Lead Time (days)" measure="1" displayFolder="" measureGroup="Table1" count="0">
      <extLst>
        <ext xmlns:x15="http://schemas.microsoft.com/office/spreadsheetml/2010/11/main" uri="{B97F6D7D-B522-45F9-BDA1-12C45D357490}">
          <x15:cacheHierarchy aggregatedColumn="5"/>
        </ext>
      </extLst>
    </cacheHierarchy>
    <cacheHierarchy uniqueName="[Measures].[Average of Lead Time (days)]" caption="Average of Lead Time (days)" measure="1" displayFolder="" measureGroup="Table1" count="0" oneField="1">
      <fieldsUsage count="1">
        <fieldUsage x="3"/>
      </fieldsUsage>
      <extLst>
        <ext xmlns:x15="http://schemas.microsoft.com/office/spreadsheetml/2010/11/main" uri="{B97F6D7D-B522-45F9-BDA1-12C45D357490}">
          <x15:cacheHierarchy aggregatedColumn="5"/>
        </ext>
      </extLst>
    </cacheHierarchy>
    <cacheHierarchy uniqueName="[Measures].[Count of Stock_Status]" caption="Count of Stock_Status" measure="1" displayFolder="" measureGroup="Table1" count="0" oneField="1">
      <fieldsUsage count="1">
        <fieldUsage x="4"/>
      </fieldsUsage>
      <extLst>
        <ext xmlns:x15="http://schemas.microsoft.com/office/spreadsheetml/2010/11/main" uri="{B97F6D7D-B522-45F9-BDA1-12C45D357490}">
          <x15:cacheHierarchy aggregatedColumn="15"/>
        </ext>
      </extLst>
    </cacheHierarchy>
    <cacheHierarchy uniqueName="[Measures].[Critical_Flag]" caption="Critical_Flag"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C4B923-D569-420E-B8A9-115198226236}"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8:E82"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4">
    <i>
      <x/>
    </i>
    <i i="1">
      <x v="1"/>
    </i>
    <i i="2">
      <x v="2"/>
    </i>
    <i i="3">
      <x v="3"/>
    </i>
  </colItems>
  <dataFields count="4">
    <dataField name="Count of SKU ID" fld="1" subtotal="count" baseField="0" baseItem="0"/>
    <dataField name="Sum of Inventry_Value" fld="2" baseField="0" baseItem="0"/>
    <dataField name="Average of Lead Time (days)" fld="3" subtotal="average" baseField="0" baseItem="0"/>
    <dataField name="Count of Stock_Status"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Lead Time (days)"/>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F7FF47-46F1-476A-865C-AE5E8773E84B}" name="Table1" displayName="Table1" ref="A36:R56" totalsRowShown="0" headerRowDxfId="8" dataDxfId="9" headerRowBorderDxfId="21" tableBorderDxfId="22" totalsRowBorderDxfId="20">
  <autoFilter ref="A36:R56" xr:uid="{81F7FF47-46F1-476A-865C-AE5E8773E84B}"/>
  <tableColumns count="18">
    <tableColumn id="1" xr3:uid="{2B9F2511-139E-41D8-B0D7-B1456DF88332}" name="SKU ID" dataDxfId="19"/>
    <tableColumn id="2" xr3:uid="{5F5BEB0B-F6D0-4FD5-8358-74A869A039AB}" name="Product Name" dataDxfId="18"/>
    <tableColumn id="3" xr3:uid="{EBC7D046-E814-4839-BBA9-8FC7921C11CB}" name="Category" dataDxfId="17"/>
    <tableColumn id="4" xr3:uid="{8106C645-F27E-47D6-AE16-CBA56ACFE1FC}" name="Current Stock" dataDxfId="16"/>
    <tableColumn id="5" xr3:uid="{F188376E-8E70-4D2C-B86B-AA764271E594}" name="Daily Sales Rate" dataDxfId="15"/>
    <tableColumn id="6" xr3:uid="{8E353ACE-8731-4855-A429-251BB6E32E9E}" name="Lead Time (days)" dataDxfId="14"/>
    <tableColumn id="7" xr3:uid="{2165F993-0EF9-4413-BC17-D3EA3134C272}" name="Unit Cost (₹)" dataDxfId="13"/>
    <tableColumn id="8" xr3:uid="{0B984D53-71CE-463F-B4C0-57148B5FE946}" name="Reorder Point" dataDxfId="12"/>
    <tableColumn id="9" xr3:uid="{74340C74-BB1E-4BB0-830F-F415EC12F056}" name="Supplier" dataDxfId="11"/>
    <tableColumn id="10" xr3:uid="{CEDE729F-328F-40DA-8D71-D04900314B93}" name="Last Restocked" dataDxfId="10"/>
    <tableColumn id="11" xr3:uid="{F2E1920E-B831-4013-9DF5-3334E8D20109}" name="Reorder_Point_Mismatch" dataDxfId="7">
      <calculatedColumnFormula>IF(Table1[[#This Row],[Daily Sales Rate]]*Table1[[#This Row],[Lead Time (days)]]=Table1[[#This Row],[Reorder Point]],"Consistent", "Mismatch")</calculatedColumnFormula>
    </tableColumn>
    <tableColumn id="12" xr3:uid="{EECDB6B5-13AD-4A96-998A-5ABD5279E062}" name="Corrected_Reorder_Point(Additional)" dataDxfId="6">
      <calculatedColumnFormula>Table1[[#This Row],[Daily Sales Rate]]*Table1[[#This Row],[Lead Time (days)]]</calculatedColumnFormula>
    </tableColumn>
    <tableColumn id="13" xr3:uid="{647174A9-029A-4BB6-91BD-1F0C309A6EA0}" name="flagging_stock" dataDxfId="5">
      <calculatedColumnFormula>IFERROR(IF(Table1[[#This Row],[Current Stock]]&lt;Table1[[#This Row],[Reorder Point]], "REORDER URGENT", "Stock OK"), "Data Issue")</calculatedColumnFormula>
    </tableColumn>
    <tableColumn id="14" xr3:uid="{EF87982B-4E39-4D81-A925-E93EBBC9C2B1}" name="Inventry_Value" dataDxfId="4">
      <calculatedColumnFormula>Table1[[#This Row],[Current Stock]]*Table1[[#This Row],[Unit Cost (₹)]]</calculatedColumnFormula>
    </tableColumn>
    <tableColumn id="15" xr3:uid="{C4171C3A-43B0-4690-B9FF-348539D3770F}" name="Days_of_Stock_Remaining" dataDxfId="3">
      <calculatedColumnFormula>IFERROR(Table1[[#This Row],[Current Stock]]/Table1[[#This Row],[Daily Sales Rate]], 0)</calculatedColumnFormula>
    </tableColumn>
    <tableColumn id="16" xr3:uid="{EDC55B8C-56D5-4AFF-8F28-05B5351BC946}" name="Stock_Status" dataDxfId="2">
      <calculatedColumnFormula>IF(AND(Table1[[#This Row],[Days_of_Stock_Remaining]] &gt; 0, Table1[[#This Row],[Days_of_Stock_Remaining]] &lt; 7), "CRITICAL", "OK")</calculatedColumnFormula>
    </tableColumn>
    <tableColumn id="17" xr3:uid="{E47A2051-821C-4267-ACA8-4966DABCC941}" name="Below_Reorder_Flag" dataDxfId="1">
      <calculatedColumnFormula>IF(Table1[[#This Row],[Current Stock]] &lt; Table1[[#This Row],[Reorder Point]], 1, 0)</calculatedColumnFormula>
    </tableColumn>
    <tableColumn id="18" xr3:uid="{575E1BAB-411C-4080-AF16-43546B08751C}" name="below_reorder_supplier" dataDxfId="0">
      <calculatedColumnFormula array="1">INDEX(Table1[Supplier], MATCH(MAX(COUNTIFS(Table1[Supplier], Table1[Supplier], Table1[Below_Reorder_Flag], 1)), COUNTIFS(Table1[Supplier], Table1[Supplier], Table1[Below_Reorder_Flag], 1),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01C22-97F7-4DE0-A6BC-EADD13AC382E}">
  <dimension ref="A1:R95"/>
  <sheetViews>
    <sheetView tabSelected="1" topLeftCell="A21" zoomScale="41" workbookViewId="0">
      <selection activeCell="P37" sqref="P37"/>
    </sheetView>
  </sheetViews>
  <sheetFormatPr defaultColWidth="16.5546875" defaultRowHeight="14.4" x14ac:dyDescent="0.3"/>
  <cols>
    <col min="1" max="1" width="12.5546875" style="23" bestFit="1" customWidth="1"/>
    <col min="2" max="2" width="14.5546875" style="23" bestFit="1" customWidth="1"/>
    <col min="3" max="3" width="20.5546875" style="23" bestFit="1" customWidth="1"/>
    <col min="4" max="4" width="25.21875" style="23" bestFit="1" customWidth="1"/>
    <col min="5" max="5" width="19.88671875" style="23" bestFit="1" customWidth="1"/>
    <col min="6" max="10" width="16.5546875" style="23"/>
    <col min="11" max="11" width="20.77734375" style="23" bestFit="1" customWidth="1"/>
    <col min="12" max="12" width="29.77734375" style="23" bestFit="1" customWidth="1"/>
    <col min="13" max="14" width="16.5546875" style="23"/>
    <col min="15" max="15" width="20.33203125" style="23" bestFit="1" customWidth="1"/>
    <col min="16" max="17" width="16.5546875" style="23"/>
    <col min="18" max="18" width="19.77734375" style="23" bestFit="1" customWidth="1"/>
    <col min="19" max="16384" width="16.5546875" style="23"/>
  </cols>
  <sheetData>
    <row r="1" spans="1:10" ht="21" x14ac:dyDescent="0.3">
      <c r="A1" s="21" t="s">
        <v>0</v>
      </c>
      <c r="B1" s="22"/>
      <c r="C1" s="22"/>
      <c r="D1" s="22"/>
      <c r="E1" s="22"/>
      <c r="F1" s="22"/>
      <c r="G1" s="22"/>
      <c r="H1" s="22"/>
      <c r="I1" s="22"/>
      <c r="J1" s="22"/>
    </row>
    <row r="2" spans="1:10" x14ac:dyDescent="0.3">
      <c r="A2" s="24" t="s">
        <v>1</v>
      </c>
      <c r="B2" s="22"/>
      <c r="C2" s="22"/>
      <c r="D2" s="22"/>
      <c r="E2" s="22"/>
      <c r="F2" s="22"/>
      <c r="G2" s="22"/>
      <c r="H2" s="22"/>
      <c r="I2" s="22"/>
      <c r="J2" s="22"/>
    </row>
    <row r="3" spans="1:10" x14ac:dyDescent="0.3">
      <c r="A3" s="25" t="s">
        <v>2</v>
      </c>
      <c r="B3" s="22"/>
      <c r="C3" s="22"/>
      <c r="D3" s="22"/>
      <c r="E3" s="22"/>
      <c r="F3" s="22"/>
      <c r="G3" s="22"/>
      <c r="H3" s="22"/>
      <c r="I3" s="22"/>
      <c r="J3" s="22"/>
    </row>
    <row r="4" spans="1:10" ht="40.799999999999997" customHeight="1" x14ac:dyDescent="0.3">
      <c r="A4" s="26" t="s">
        <v>3</v>
      </c>
      <c r="B4" s="22"/>
      <c r="C4" s="22"/>
      <c r="D4" s="22"/>
      <c r="E4" s="22"/>
      <c r="F4" s="22"/>
      <c r="G4" s="22"/>
      <c r="H4" s="22"/>
      <c r="I4" s="22"/>
      <c r="J4" s="22"/>
    </row>
    <row r="5" spans="1:10" x14ac:dyDescent="0.3">
      <c r="A5" s="22"/>
      <c r="B5" s="22"/>
      <c r="C5" s="22"/>
      <c r="D5" s="22"/>
      <c r="E5" s="22"/>
      <c r="F5" s="22"/>
      <c r="G5" s="22"/>
      <c r="H5" s="22"/>
      <c r="I5" s="22"/>
      <c r="J5" s="22"/>
    </row>
    <row r="6" spans="1:10" x14ac:dyDescent="0.3">
      <c r="A6" s="27" t="s">
        <v>4</v>
      </c>
      <c r="B6" s="22"/>
      <c r="C6" s="22"/>
      <c r="D6" s="22"/>
      <c r="E6" s="22"/>
      <c r="F6" s="22"/>
      <c r="G6" s="22"/>
      <c r="H6" s="22"/>
      <c r="I6" s="22"/>
      <c r="J6" s="22"/>
    </row>
    <row r="7" spans="1:10" x14ac:dyDescent="0.3">
      <c r="A7" s="28" t="s">
        <v>5</v>
      </c>
      <c r="B7" s="22"/>
      <c r="C7" s="22"/>
      <c r="D7" s="22"/>
      <c r="E7" s="22"/>
      <c r="F7" s="22"/>
      <c r="G7" s="22"/>
      <c r="H7" s="22"/>
      <c r="I7" s="22"/>
      <c r="J7" s="22"/>
    </row>
    <row r="8" spans="1:10" ht="15" thickBot="1" x14ac:dyDescent="0.35">
      <c r="A8" s="22"/>
      <c r="B8" s="22"/>
      <c r="C8" s="22"/>
      <c r="D8" s="22"/>
      <c r="E8" s="22"/>
      <c r="F8" s="22"/>
      <c r="G8" s="22"/>
      <c r="H8" s="22"/>
      <c r="I8" s="22"/>
      <c r="J8" s="22"/>
    </row>
    <row r="9" spans="1:10" ht="15" thickTop="1" x14ac:dyDescent="0.3">
      <c r="A9" s="29" t="s">
        <v>6</v>
      </c>
      <c r="B9" s="30"/>
      <c r="C9" s="30"/>
      <c r="D9" s="30"/>
      <c r="E9" s="30"/>
      <c r="F9" s="30"/>
      <c r="G9" s="30"/>
      <c r="H9" s="30"/>
      <c r="I9" s="30"/>
      <c r="J9" s="31"/>
    </row>
    <row r="10" spans="1:10" ht="14.4" customHeight="1" x14ac:dyDescent="0.3">
      <c r="A10" s="2" t="s">
        <v>7</v>
      </c>
      <c r="B10" s="3" t="s">
        <v>8</v>
      </c>
      <c r="C10" s="3" t="s">
        <v>9</v>
      </c>
      <c r="D10" s="3" t="s">
        <v>10</v>
      </c>
      <c r="E10" s="3" t="s">
        <v>11</v>
      </c>
      <c r="F10" s="3" t="s">
        <v>12</v>
      </c>
      <c r="G10" s="3" t="s">
        <v>13</v>
      </c>
      <c r="H10" s="3" t="s">
        <v>14</v>
      </c>
      <c r="I10" s="3" t="s">
        <v>15</v>
      </c>
      <c r="J10" s="4" t="s">
        <v>16</v>
      </c>
    </row>
    <row r="11" spans="1:10" x14ac:dyDescent="0.3">
      <c r="A11" s="5" t="s">
        <v>17</v>
      </c>
      <c r="B11" s="6" t="s">
        <v>18</v>
      </c>
      <c r="C11" s="7" t="s">
        <v>19</v>
      </c>
      <c r="D11" s="8">
        <v>45</v>
      </c>
      <c r="E11" s="8">
        <v>3</v>
      </c>
      <c r="F11" s="8">
        <v>7</v>
      </c>
      <c r="G11" s="8">
        <v>52000</v>
      </c>
      <c r="H11" s="8">
        <v>25</v>
      </c>
      <c r="I11" s="7" t="s">
        <v>20</v>
      </c>
      <c r="J11" s="9" t="s">
        <v>21</v>
      </c>
    </row>
    <row r="12" spans="1:10" x14ac:dyDescent="0.3">
      <c r="A12" s="10" t="s">
        <v>22</v>
      </c>
      <c r="B12" s="11" t="s">
        <v>23</v>
      </c>
      <c r="C12" s="12" t="s">
        <v>19</v>
      </c>
      <c r="D12" s="13">
        <v>120</v>
      </c>
      <c r="E12" s="13">
        <v>8</v>
      </c>
      <c r="F12" s="13">
        <v>5</v>
      </c>
      <c r="G12" s="13">
        <v>1200</v>
      </c>
      <c r="H12" s="13">
        <v>45</v>
      </c>
      <c r="I12" s="12" t="s">
        <v>20</v>
      </c>
      <c r="J12" s="14" t="s">
        <v>24</v>
      </c>
    </row>
    <row r="13" spans="1:10" x14ac:dyDescent="0.3">
      <c r="A13" s="5" t="s">
        <v>25</v>
      </c>
      <c r="B13" s="6" t="s">
        <v>26</v>
      </c>
      <c r="C13" s="7" t="s">
        <v>27</v>
      </c>
      <c r="D13" s="8">
        <v>18</v>
      </c>
      <c r="E13" s="8">
        <v>2</v>
      </c>
      <c r="F13" s="8">
        <v>14</v>
      </c>
      <c r="G13" s="8">
        <v>8500</v>
      </c>
      <c r="H13" s="8">
        <v>30</v>
      </c>
      <c r="I13" s="7" t="s">
        <v>28</v>
      </c>
      <c r="J13" s="9" t="s">
        <v>29</v>
      </c>
    </row>
    <row r="14" spans="1:10" x14ac:dyDescent="0.3">
      <c r="A14" s="10" t="s">
        <v>30</v>
      </c>
      <c r="B14" s="11" t="s">
        <v>31</v>
      </c>
      <c r="C14" s="12" t="s">
        <v>32</v>
      </c>
      <c r="D14" s="13">
        <v>380</v>
      </c>
      <c r="E14" s="13">
        <v>25</v>
      </c>
      <c r="F14" s="13">
        <v>3</v>
      </c>
      <c r="G14" s="13">
        <v>350</v>
      </c>
      <c r="H14" s="13">
        <v>80</v>
      </c>
      <c r="I14" s="12" t="s">
        <v>33</v>
      </c>
      <c r="J14" s="14" t="s">
        <v>34</v>
      </c>
    </row>
    <row r="15" spans="1:10" x14ac:dyDescent="0.3">
      <c r="A15" s="5" t="s">
        <v>35</v>
      </c>
      <c r="B15" s="6" t="s">
        <v>36</v>
      </c>
      <c r="C15" s="7" t="s">
        <v>19</v>
      </c>
      <c r="D15" s="8">
        <v>67</v>
      </c>
      <c r="E15" s="8">
        <v>5</v>
      </c>
      <c r="F15" s="8">
        <v>6</v>
      </c>
      <c r="G15" s="8">
        <v>2800</v>
      </c>
      <c r="H15" s="8">
        <v>35</v>
      </c>
      <c r="I15" s="7" t="s">
        <v>20</v>
      </c>
      <c r="J15" s="9" t="s">
        <v>37</v>
      </c>
    </row>
    <row r="16" spans="1:10" x14ac:dyDescent="0.3">
      <c r="A16" s="10" t="s">
        <v>38</v>
      </c>
      <c r="B16" s="11" t="s">
        <v>39</v>
      </c>
      <c r="C16" s="12" t="s">
        <v>27</v>
      </c>
      <c r="D16" s="13">
        <v>8</v>
      </c>
      <c r="E16" s="13">
        <v>1</v>
      </c>
      <c r="F16" s="13">
        <v>21</v>
      </c>
      <c r="G16" s="13">
        <v>22000</v>
      </c>
      <c r="H16" s="13">
        <v>25</v>
      </c>
      <c r="I16" s="12" t="s">
        <v>28</v>
      </c>
      <c r="J16" s="14" t="s">
        <v>40</v>
      </c>
    </row>
    <row r="17" spans="1:10" x14ac:dyDescent="0.3">
      <c r="A17" s="5" t="s">
        <v>41</v>
      </c>
      <c r="B17" s="6" t="s">
        <v>42</v>
      </c>
      <c r="C17" s="7" t="s">
        <v>32</v>
      </c>
      <c r="D17" s="8">
        <v>520</v>
      </c>
      <c r="E17" s="8">
        <v>40</v>
      </c>
      <c r="F17" s="8">
        <v>2</v>
      </c>
      <c r="G17" s="8">
        <v>120</v>
      </c>
      <c r="H17" s="8">
        <v>100</v>
      </c>
      <c r="I17" s="7" t="s">
        <v>33</v>
      </c>
      <c r="J17" s="9" t="s">
        <v>43</v>
      </c>
    </row>
    <row r="18" spans="1:10" x14ac:dyDescent="0.3">
      <c r="A18" s="10" t="s">
        <v>44</v>
      </c>
      <c r="B18" s="11" t="s">
        <v>45</v>
      </c>
      <c r="C18" s="12" t="s">
        <v>19</v>
      </c>
      <c r="D18" s="13">
        <v>29</v>
      </c>
      <c r="E18" s="13">
        <v>2</v>
      </c>
      <c r="F18" s="13">
        <v>10</v>
      </c>
      <c r="G18" s="13">
        <v>18500</v>
      </c>
      <c r="H18" s="13">
        <v>25</v>
      </c>
      <c r="I18" s="12" t="s">
        <v>20</v>
      </c>
      <c r="J18" s="14" t="s">
        <v>46</v>
      </c>
    </row>
    <row r="19" spans="1:10" x14ac:dyDescent="0.3">
      <c r="A19" s="5" t="s">
        <v>47</v>
      </c>
      <c r="B19" s="6" t="s">
        <v>48</v>
      </c>
      <c r="C19" s="7" t="s">
        <v>32</v>
      </c>
      <c r="D19" s="8">
        <v>850</v>
      </c>
      <c r="E19" s="8">
        <v>60</v>
      </c>
      <c r="F19" s="8">
        <v>2</v>
      </c>
      <c r="G19" s="8">
        <v>85</v>
      </c>
      <c r="H19" s="8">
        <v>150</v>
      </c>
      <c r="I19" s="7" t="s">
        <v>33</v>
      </c>
      <c r="J19" s="9" t="s">
        <v>49</v>
      </c>
    </row>
    <row r="20" spans="1:10" x14ac:dyDescent="0.3">
      <c r="A20" s="10" t="s">
        <v>50</v>
      </c>
      <c r="B20" s="11" t="s">
        <v>51</v>
      </c>
      <c r="C20" s="12" t="s">
        <v>19</v>
      </c>
      <c r="D20" s="13">
        <v>95</v>
      </c>
      <c r="E20" s="13">
        <v>6</v>
      </c>
      <c r="F20" s="13">
        <v>5</v>
      </c>
      <c r="G20" s="13">
        <v>4500</v>
      </c>
      <c r="H20" s="13">
        <v>35</v>
      </c>
      <c r="I20" s="12" t="s">
        <v>20</v>
      </c>
      <c r="J20" s="14" t="s">
        <v>52</v>
      </c>
    </row>
    <row r="21" spans="1:10" x14ac:dyDescent="0.3">
      <c r="A21" s="5" t="s">
        <v>53</v>
      </c>
      <c r="B21" s="6" t="s">
        <v>54</v>
      </c>
      <c r="C21" s="7" t="s">
        <v>27</v>
      </c>
      <c r="D21" s="8">
        <v>12</v>
      </c>
      <c r="E21" s="8">
        <v>1</v>
      </c>
      <c r="F21" s="8">
        <v>18</v>
      </c>
      <c r="G21" s="8">
        <v>6800</v>
      </c>
      <c r="H21" s="8">
        <v>20</v>
      </c>
      <c r="I21" s="7" t="s">
        <v>28</v>
      </c>
      <c r="J21" s="9" t="s">
        <v>55</v>
      </c>
    </row>
    <row r="22" spans="1:10" x14ac:dyDescent="0.3">
      <c r="A22" s="10" t="s">
        <v>56</v>
      </c>
      <c r="B22" s="11" t="s">
        <v>57</v>
      </c>
      <c r="C22" s="12" t="s">
        <v>19</v>
      </c>
      <c r="D22" s="13">
        <v>210</v>
      </c>
      <c r="E22" s="13">
        <v>12</v>
      </c>
      <c r="F22" s="13">
        <v>4</v>
      </c>
      <c r="G22" s="13">
        <v>650</v>
      </c>
      <c r="H22" s="13">
        <v>55</v>
      </c>
      <c r="I22" s="12" t="s">
        <v>20</v>
      </c>
      <c r="J22" s="14" t="s">
        <v>58</v>
      </c>
    </row>
    <row r="23" spans="1:10" x14ac:dyDescent="0.3">
      <c r="A23" s="5" t="s">
        <v>59</v>
      </c>
      <c r="B23" s="6" t="s">
        <v>60</v>
      </c>
      <c r="C23" s="7" t="s">
        <v>32</v>
      </c>
      <c r="D23" s="8">
        <v>175</v>
      </c>
      <c r="E23" s="8">
        <v>8</v>
      </c>
      <c r="F23" s="8">
        <v>3</v>
      </c>
      <c r="G23" s="8">
        <v>280</v>
      </c>
      <c r="H23" s="8">
        <v>30</v>
      </c>
      <c r="I23" s="7" t="s">
        <v>33</v>
      </c>
      <c r="J23" s="9" t="s">
        <v>61</v>
      </c>
    </row>
    <row r="24" spans="1:10" x14ac:dyDescent="0.3">
      <c r="A24" s="10" t="s">
        <v>62</v>
      </c>
      <c r="B24" s="11" t="s">
        <v>63</v>
      </c>
      <c r="C24" s="12" t="s">
        <v>19</v>
      </c>
      <c r="D24" s="13">
        <v>38</v>
      </c>
      <c r="E24" s="13">
        <v>3</v>
      </c>
      <c r="F24" s="13">
        <v>7</v>
      </c>
      <c r="G24" s="13">
        <v>3200</v>
      </c>
      <c r="H24" s="13">
        <v>25</v>
      </c>
      <c r="I24" s="12" t="s">
        <v>20</v>
      </c>
      <c r="J24" s="14" t="s">
        <v>64</v>
      </c>
    </row>
    <row r="25" spans="1:10" x14ac:dyDescent="0.3">
      <c r="A25" s="5" t="s">
        <v>65</v>
      </c>
      <c r="B25" s="6" t="s">
        <v>66</v>
      </c>
      <c r="C25" s="7" t="s">
        <v>27</v>
      </c>
      <c r="D25" s="8">
        <v>6</v>
      </c>
      <c r="E25" s="8">
        <v>0</v>
      </c>
      <c r="F25" s="8">
        <v>25</v>
      </c>
      <c r="G25" s="8">
        <v>12000</v>
      </c>
      <c r="H25" s="8">
        <v>10</v>
      </c>
      <c r="I25" s="7" t="s">
        <v>28</v>
      </c>
      <c r="J25" s="9" t="s">
        <v>67</v>
      </c>
    </row>
    <row r="26" spans="1:10" x14ac:dyDescent="0.3">
      <c r="A26" s="10" t="s">
        <v>68</v>
      </c>
      <c r="B26" s="11" t="s">
        <v>69</v>
      </c>
      <c r="C26" s="12" t="s">
        <v>19</v>
      </c>
      <c r="D26" s="13">
        <v>55</v>
      </c>
      <c r="E26" s="13">
        <v>4</v>
      </c>
      <c r="F26" s="13">
        <v>6</v>
      </c>
      <c r="G26" s="13">
        <v>2100</v>
      </c>
      <c r="H26" s="13">
        <v>28</v>
      </c>
      <c r="I26" s="12" t="s">
        <v>20</v>
      </c>
      <c r="J26" s="14" t="s">
        <v>70</v>
      </c>
    </row>
    <row r="27" spans="1:10" x14ac:dyDescent="0.3">
      <c r="A27" s="5" t="s">
        <v>71</v>
      </c>
      <c r="B27" s="6" t="s">
        <v>72</v>
      </c>
      <c r="C27" s="7" t="s">
        <v>32</v>
      </c>
      <c r="D27" s="8">
        <v>960</v>
      </c>
      <c r="E27" s="8">
        <v>50</v>
      </c>
      <c r="F27" s="8">
        <v>2</v>
      </c>
      <c r="G27" s="8">
        <v>60</v>
      </c>
      <c r="H27" s="8">
        <v>120</v>
      </c>
      <c r="I27" s="7" t="s">
        <v>33</v>
      </c>
      <c r="J27" s="9" t="s">
        <v>73</v>
      </c>
    </row>
    <row r="28" spans="1:10" x14ac:dyDescent="0.3">
      <c r="A28" s="10" t="s">
        <v>74</v>
      </c>
      <c r="B28" s="11" t="s">
        <v>75</v>
      </c>
      <c r="C28" s="12" t="s">
        <v>19</v>
      </c>
      <c r="D28" s="13">
        <v>14</v>
      </c>
      <c r="E28" s="13">
        <v>1</v>
      </c>
      <c r="F28" s="13">
        <v>12</v>
      </c>
      <c r="G28" s="13">
        <v>28000</v>
      </c>
      <c r="H28" s="13">
        <v>15</v>
      </c>
      <c r="I28" s="12" t="s">
        <v>20</v>
      </c>
      <c r="J28" s="14" t="s">
        <v>76</v>
      </c>
    </row>
    <row r="29" spans="1:10" x14ac:dyDescent="0.3">
      <c r="A29" s="5" t="s">
        <v>77</v>
      </c>
      <c r="B29" s="6" t="s">
        <v>78</v>
      </c>
      <c r="C29" s="7" t="s">
        <v>27</v>
      </c>
      <c r="D29" s="8">
        <v>9</v>
      </c>
      <c r="E29" s="8">
        <v>0</v>
      </c>
      <c r="F29" s="8">
        <v>20</v>
      </c>
      <c r="G29" s="8">
        <v>5500</v>
      </c>
      <c r="H29" s="8">
        <v>8</v>
      </c>
      <c r="I29" s="7" t="s">
        <v>28</v>
      </c>
      <c r="J29" s="9" t="s">
        <v>79</v>
      </c>
    </row>
    <row r="30" spans="1:10" ht="15" thickBot="1" x14ac:dyDescent="0.35">
      <c r="A30" s="15" t="s">
        <v>80</v>
      </c>
      <c r="B30" s="16" t="s">
        <v>81</v>
      </c>
      <c r="C30" s="17" t="s">
        <v>32</v>
      </c>
      <c r="D30" s="18">
        <v>88</v>
      </c>
      <c r="E30" s="18">
        <v>7</v>
      </c>
      <c r="F30" s="18">
        <v>4</v>
      </c>
      <c r="G30" s="18">
        <v>1800</v>
      </c>
      <c r="H30" s="18">
        <v>32</v>
      </c>
      <c r="I30" s="17" t="s">
        <v>33</v>
      </c>
      <c r="J30" s="19" t="s">
        <v>82</v>
      </c>
    </row>
    <row r="31" spans="1:10" ht="15" thickTop="1" x14ac:dyDescent="0.3"/>
    <row r="32" spans="1:10" x14ac:dyDescent="0.3">
      <c r="A32" s="32" t="s">
        <v>84</v>
      </c>
    </row>
    <row r="33" spans="1:18" ht="4.2" customHeight="1" x14ac:dyDescent="0.3"/>
    <row r="34" spans="1:18" ht="1.2" hidden="1" customHeight="1" x14ac:dyDescent="0.3"/>
    <row r="35" spans="1:18" hidden="1" x14ac:dyDescent="0.3"/>
    <row r="36" spans="1:18" ht="24" x14ac:dyDescent="0.3">
      <c r="A36" s="37" t="s">
        <v>7</v>
      </c>
      <c r="B36" s="38" t="s">
        <v>8</v>
      </c>
      <c r="C36" s="38" t="s">
        <v>9</v>
      </c>
      <c r="D36" s="38" t="s">
        <v>10</v>
      </c>
      <c r="E36" s="38" t="s">
        <v>11</v>
      </c>
      <c r="F36" s="38" t="s">
        <v>12</v>
      </c>
      <c r="G36" s="38" t="s">
        <v>13</v>
      </c>
      <c r="H36" s="38" t="s">
        <v>14</v>
      </c>
      <c r="I36" s="38" t="s">
        <v>15</v>
      </c>
      <c r="J36" s="39" t="s">
        <v>16</v>
      </c>
      <c r="K36" s="49" t="s">
        <v>87</v>
      </c>
      <c r="L36" s="49" t="s">
        <v>88</v>
      </c>
      <c r="M36" s="49" t="s">
        <v>91</v>
      </c>
      <c r="N36" s="49" t="s">
        <v>92</v>
      </c>
      <c r="O36" s="49" t="s">
        <v>96</v>
      </c>
      <c r="P36" s="49" t="s">
        <v>97</v>
      </c>
      <c r="Q36" s="49" t="s">
        <v>99</v>
      </c>
      <c r="R36" s="49" t="s">
        <v>100</v>
      </c>
    </row>
    <row r="37" spans="1:18" x14ac:dyDescent="0.3">
      <c r="A37" s="33" t="s">
        <v>17</v>
      </c>
      <c r="B37" s="6" t="s">
        <v>18</v>
      </c>
      <c r="C37" s="7" t="s">
        <v>19</v>
      </c>
      <c r="D37" s="8">
        <v>45</v>
      </c>
      <c r="E37" s="8">
        <v>3</v>
      </c>
      <c r="F37" s="8">
        <v>7</v>
      </c>
      <c r="G37" s="8">
        <v>52000</v>
      </c>
      <c r="H37" s="8">
        <v>25</v>
      </c>
      <c r="I37" s="7" t="s">
        <v>20</v>
      </c>
      <c r="J37" s="35" t="s">
        <v>21</v>
      </c>
      <c r="K37" s="47" t="str">
        <f>IF(Table1[[#This Row],[Daily Sales Rate]]*Table1[[#This Row],[Lead Time (days)]]=Table1[[#This Row],[Reorder Point]],"Consistent", "Mismatch")</f>
        <v>Mismatch</v>
      </c>
      <c r="L37" s="50">
        <f>Table1[[#This Row],[Daily Sales Rate]]*Table1[[#This Row],[Lead Time (days)]]</f>
        <v>21</v>
      </c>
      <c r="M37" s="50" t="str">
        <f>IFERROR(IF(Table1[[#This Row],[Current Stock]]&lt;Table1[[#This Row],[Reorder Point]], "REORDER URGENT", "Stock OK"), "Data Issue")</f>
        <v>Stock OK</v>
      </c>
      <c r="N37" s="50">
        <f>Table1[[#This Row],[Current Stock]]*Table1[[#This Row],[Unit Cost (₹)]]</f>
        <v>2340000</v>
      </c>
      <c r="O37" s="59">
        <f>IFERROR(Table1[[#This Row],[Current Stock]]/Table1[[#This Row],[Daily Sales Rate]], 0)</f>
        <v>15</v>
      </c>
      <c r="P37" s="59" t="str">
        <f>IF(AND(Table1[[#This Row],[Days_of_Stock_Remaining]] &gt; 0, Table1[[#This Row],[Days_of_Stock_Remaining]] &lt; 7), "CRITICAL", "OK")</f>
        <v>OK</v>
      </c>
      <c r="Q37" s="59">
        <f>IF(Table1[[#This Row],[Current Stock]] &lt; Table1[[#This Row],[Reorder Point]], 1, 0)</f>
        <v>0</v>
      </c>
      <c r="R37" s="59" t="str" cm="1">
        <f t="array" ref="R37">INDEX(Table1[Supplier], MATCH(MAX(COUNTIFS(Table1[Supplier], Table1[Supplier], Table1[Below_Reorder_Flag], 1)), COUNTIFS(Table1[Supplier], Table1[Supplier], Table1[Below_Reorder_Flag], 1), 0))</f>
        <v>FurniturePro</v>
      </c>
    </row>
    <row r="38" spans="1:18" x14ac:dyDescent="0.3">
      <c r="A38" s="34" t="s">
        <v>22</v>
      </c>
      <c r="B38" s="11" t="s">
        <v>23</v>
      </c>
      <c r="C38" s="12" t="s">
        <v>19</v>
      </c>
      <c r="D38" s="13">
        <v>120</v>
      </c>
      <c r="E38" s="13">
        <v>8</v>
      </c>
      <c r="F38" s="13">
        <v>5</v>
      </c>
      <c r="G38" s="13">
        <v>1200</v>
      </c>
      <c r="H38" s="13">
        <v>45</v>
      </c>
      <c r="I38" s="12" t="s">
        <v>20</v>
      </c>
      <c r="J38" s="36" t="s">
        <v>24</v>
      </c>
      <c r="K38" s="46" t="str">
        <f>IF(Table1[[#This Row],[Daily Sales Rate]]*Table1[[#This Row],[Lead Time (days)]]=Table1[[#This Row],[Reorder Point]],"Consistent", "Mismatch")</f>
        <v>Mismatch</v>
      </c>
      <c r="L38" s="50">
        <f>Table1[[#This Row],[Daily Sales Rate]]*Table1[[#This Row],[Lead Time (days)]]</f>
        <v>40</v>
      </c>
      <c r="M38" s="50" t="str">
        <f>IFERROR(IF(Table1[[#This Row],[Current Stock]]&lt;Table1[[#This Row],[Reorder Point]], "REORDER URGENT", "Stock OK"), "Data Issue")</f>
        <v>Stock OK</v>
      </c>
      <c r="N38" s="50">
        <f>Table1[[#This Row],[Current Stock]]*Table1[[#This Row],[Unit Cost (₹)]]</f>
        <v>144000</v>
      </c>
      <c r="O38" s="59">
        <f>IFERROR(Table1[[#This Row],[Current Stock]]/Table1[[#This Row],[Daily Sales Rate]], 0)</f>
        <v>15</v>
      </c>
      <c r="P38" s="59" t="str">
        <f>IF(AND(Table1[[#This Row],[Days_of_Stock_Remaining]] &gt; 0, Table1[[#This Row],[Days_of_Stock_Remaining]] &lt; 7), "CRITICAL", "OK")</f>
        <v>OK</v>
      </c>
      <c r="Q38" s="59">
        <f>IF(Table1[[#This Row],[Current Stock]] &lt; Table1[[#This Row],[Reorder Point]], 1, 0)</f>
        <v>0</v>
      </c>
      <c r="R38" s="59" t="str" cm="1">
        <f t="array" ref="R38">INDEX(Table1[Supplier], MATCH(MAX(COUNTIFS(Table1[Supplier], Table1[Supplier], Table1[Below_Reorder_Flag], 1)), COUNTIFS(Table1[Supplier], Table1[Supplier], Table1[Below_Reorder_Flag], 1), 0))</f>
        <v>FurniturePro</v>
      </c>
    </row>
    <row r="39" spans="1:18" x14ac:dyDescent="0.3">
      <c r="A39" s="33" t="s">
        <v>25</v>
      </c>
      <c r="B39" s="6" t="s">
        <v>26</v>
      </c>
      <c r="C39" s="7" t="s">
        <v>27</v>
      </c>
      <c r="D39" s="8">
        <v>18</v>
      </c>
      <c r="E39" s="8">
        <v>2</v>
      </c>
      <c r="F39" s="8">
        <v>14</v>
      </c>
      <c r="G39" s="8">
        <v>8500</v>
      </c>
      <c r="H39" s="8">
        <v>30</v>
      </c>
      <c r="I39" s="7" t="s">
        <v>28</v>
      </c>
      <c r="J39" s="35" t="s">
        <v>29</v>
      </c>
      <c r="K39" s="46" t="str">
        <f>IF(Table1[[#This Row],[Daily Sales Rate]]*Table1[[#This Row],[Lead Time (days)]]=Table1[[#This Row],[Reorder Point]],"Consistent", "Mismatch")</f>
        <v>Mismatch</v>
      </c>
      <c r="L39" s="50">
        <f>Table1[[#This Row],[Daily Sales Rate]]*Table1[[#This Row],[Lead Time (days)]]</f>
        <v>28</v>
      </c>
      <c r="M39" s="50" t="str">
        <f>IFERROR(IF(Table1[[#This Row],[Current Stock]]&lt;Table1[[#This Row],[Reorder Point]], "REORDER URGENT", "Stock OK"), "Data Issue")</f>
        <v>REORDER URGENT</v>
      </c>
      <c r="N39" s="50">
        <f>Table1[[#This Row],[Current Stock]]*Table1[[#This Row],[Unit Cost (₹)]]</f>
        <v>153000</v>
      </c>
      <c r="O39" s="59">
        <f>IFERROR(Table1[[#This Row],[Current Stock]]/Table1[[#This Row],[Daily Sales Rate]], 0)</f>
        <v>9</v>
      </c>
      <c r="P39" s="59" t="str">
        <f>IF(AND(Table1[[#This Row],[Days_of_Stock_Remaining]] &gt; 0, Table1[[#This Row],[Days_of_Stock_Remaining]] &lt; 7), "CRITICAL", "OK")</f>
        <v>OK</v>
      </c>
      <c r="Q39" s="59">
        <f>IF(Table1[[#This Row],[Current Stock]] &lt; Table1[[#This Row],[Reorder Point]], 1, 0)</f>
        <v>1</v>
      </c>
      <c r="R39" s="59" t="str" cm="1">
        <f t="array" ref="R39">INDEX(Table1[Supplier], MATCH(MAX(COUNTIFS(Table1[Supplier], Table1[Supplier], Table1[Below_Reorder_Flag], 1)), COUNTIFS(Table1[Supplier], Table1[Supplier], Table1[Below_Reorder_Flag], 1), 0))</f>
        <v>FurniturePro</v>
      </c>
    </row>
    <row r="40" spans="1:18" x14ac:dyDescent="0.3">
      <c r="A40" s="34" t="s">
        <v>30</v>
      </c>
      <c r="B40" s="11" t="s">
        <v>31</v>
      </c>
      <c r="C40" s="12" t="s">
        <v>32</v>
      </c>
      <c r="D40" s="13">
        <v>380</v>
      </c>
      <c r="E40" s="13">
        <v>25</v>
      </c>
      <c r="F40" s="13">
        <v>3</v>
      </c>
      <c r="G40" s="13">
        <v>350</v>
      </c>
      <c r="H40" s="13">
        <v>80</v>
      </c>
      <c r="I40" s="12" t="s">
        <v>33</v>
      </c>
      <c r="J40" s="36" t="s">
        <v>34</v>
      </c>
      <c r="K40" s="46" t="str">
        <f>IF(Table1[[#This Row],[Daily Sales Rate]]*Table1[[#This Row],[Lead Time (days)]]=Table1[[#This Row],[Reorder Point]],"Consistent", "Mismatch")</f>
        <v>Mismatch</v>
      </c>
      <c r="L40" s="50">
        <f>Table1[[#This Row],[Daily Sales Rate]]*Table1[[#This Row],[Lead Time (days)]]</f>
        <v>75</v>
      </c>
      <c r="M40" s="50" t="str">
        <f>IFERROR(IF(Table1[[#This Row],[Current Stock]]&lt;Table1[[#This Row],[Reorder Point]], "REORDER URGENT", "Stock OK"), "Data Issue")</f>
        <v>Stock OK</v>
      </c>
      <c r="N40" s="50">
        <f>Table1[[#This Row],[Current Stock]]*Table1[[#This Row],[Unit Cost (₹)]]</f>
        <v>133000</v>
      </c>
      <c r="O40" s="59">
        <f>IFERROR(Table1[[#This Row],[Current Stock]]/Table1[[#This Row],[Daily Sales Rate]], 0)</f>
        <v>15.2</v>
      </c>
      <c r="P40" s="59" t="str">
        <f>IF(AND(Table1[[#This Row],[Days_of_Stock_Remaining]] &gt; 0, Table1[[#This Row],[Days_of_Stock_Remaining]] &lt; 7), "CRITICAL", "OK")</f>
        <v>OK</v>
      </c>
      <c r="Q40" s="59">
        <f>IF(Table1[[#This Row],[Current Stock]] &lt; Table1[[#This Row],[Reorder Point]], 1, 0)</f>
        <v>0</v>
      </c>
      <c r="R40" s="59" t="str" cm="1">
        <f t="array" ref="R40">INDEX(Table1[Supplier], MATCH(MAX(COUNTIFS(Table1[Supplier], Table1[Supplier], Table1[Below_Reorder_Flag], 1)), COUNTIFS(Table1[Supplier], Table1[Supplier], Table1[Below_Reorder_Flag], 1), 0))</f>
        <v>FurniturePro</v>
      </c>
    </row>
    <row r="41" spans="1:18" ht="14.4" customHeight="1" x14ac:dyDescent="0.3">
      <c r="A41" s="33" t="s">
        <v>35</v>
      </c>
      <c r="B41" s="6" t="s">
        <v>36</v>
      </c>
      <c r="C41" s="7" t="s">
        <v>19</v>
      </c>
      <c r="D41" s="8">
        <v>67</v>
      </c>
      <c r="E41" s="8">
        <v>5</v>
      </c>
      <c r="F41" s="8">
        <v>6</v>
      </c>
      <c r="G41" s="8">
        <v>2800</v>
      </c>
      <c r="H41" s="8">
        <v>35</v>
      </c>
      <c r="I41" s="7" t="s">
        <v>20</v>
      </c>
      <c r="J41" s="35" t="s">
        <v>37</v>
      </c>
      <c r="K41" s="46" t="str">
        <f>IF(Table1[[#This Row],[Daily Sales Rate]]*Table1[[#This Row],[Lead Time (days)]]=Table1[[#This Row],[Reorder Point]],"Consistent", "Mismatch")</f>
        <v>Mismatch</v>
      </c>
      <c r="L41" s="50">
        <f>Table1[[#This Row],[Daily Sales Rate]]*Table1[[#This Row],[Lead Time (days)]]</f>
        <v>30</v>
      </c>
      <c r="M41" s="50" t="str">
        <f>IFERROR(IF(Table1[[#This Row],[Current Stock]]&lt;Table1[[#This Row],[Reorder Point]], "REORDER URGENT", "Stock OK"), "Data Issue")</f>
        <v>Stock OK</v>
      </c>
      <c r="N41" s="50">
        <f>Table1[[#This Row],[Current Stock]]*Table1[[#This Row],[Unit Cost (₹)]]</f>
        <v>187600</v>
      </c>
      <c r="O41" s="59">
        <f>IFERROR(Table1[[#This Row],[Current Stock]]/Table1[[#This Row],[Daily Sales Rate]], 0)</f>
        <v>13.4</v>
      </c>
      <c r="P41" s="59" t="str">
        <f>IF(AND(Table1[[#This Row],[Days_of_Stock_Remaining]] &gt; 0, Table1[[#This Row],[Days_of_Stock_Remaining]] &lt; 7), "CRITICAL", "OK")</f>
        <v>OK</v>
      </c>
      <c r="Q41" s="59">
        <f>IF(Table1[[#This Row],[Current Stock]] &lt; Table1[[#This Row],[Reorder Point]], 1, 0)</f>
        <v>0</v>
      </c>
      <c r="R41" s="59" t="str" cm="1">
        <f t="array" ref="R41">INDEX(Table1[Supplier], MATCH(MAX(COUNTIFS(Table1[Supplier], Table1[Supplier], Table1[Below_Reorder_Flag], 1)), COUNTIFS(Table1[Supplier], Table1[Supplier], Table1[Below_Reorder_Flag], 1), 0))</f>
        <v>FurniturePro</v>
      </c>
    </row>
    <row r="42" spans="1:18" x14ac:dyDescent="0.3">
      <c r="A42" s="34" t="s">
        <v>38</v>
      </c>
      <c r="B42" s="11" t="s">
        <v>39</v>
      </c>
      <c r="C42" s="12" t="s">
        <v>27</v>
      </c>
      <c r="D42" s="13">
        <v>8</v>
      </c>
      <c r="E42" s="13">
        <v>1</v>
      </c>
      <c r="F42" s="13">
        <v>21</v>
      </c>
      <c r="G42" s="13">
        <v>22000</v>
      </c>
      <c r="H42" s="13">
        <v>25</v>
      </c>
      <c r="I42" s="12" t="s">
        <v>28</v>
      </c>
      <c r="J42" s="36" t="s">
        <v>40</v>
      </c>
      <c r="K42" s="46" t="str">
        <f>IF(Table1[[#This Row],[Daily Sales Rate]]*Table1[[#This Row],[Lead Time (days)]]=Table1[[#This Row],[Reorder Point]],"Consistent", "Mismatch")</f>
        <v>Mismatch</v>
      </c>
      <c r="L42" s="50">
        <f>Table1[[#This Row],[Daily Sales Rate]]*Table1[[#This Row],[Lead Time (days)]]</f>
        <v>21</v>
      </c>
      <c r="M42" s="50" t="str">
        <f>IFERROR(IF(Table1[[#This Row],[Current Stock]]&lt;Table1[[#This Row],[Reorder Point]], "REORDER URGENT", "Stock OK"), "Data Issue")</f>
        <v>REORDER URGENT</v>
      </c>
      <c r="N42" s="50">
        <f>Table1[[#This Row],[Current Stock]]*Table1[[#This Row],[Unit Cost (₹)]]</f>
        <v>176000</v>
      </c>
      <c r="O42" s="59">
        <f>IFERROR(Table1[[#This Row],[Current Stock]]/Table1[[#This Row],[Daily Sales Rate]], 0)</f>
        <v>8</v>
      </c>
      <c r="P42" s="59" t="str">
        <f>IF(AND(Table1[[#This Row],[Days_of_Stock_Remaining]] &gt; 0, Table1[[#This Row],[Days_of_Stock_Remaining]] &lt; 7), "CRITICAL", "OK")</f>
        <v>OK</v>
      </c>
      <c r="Q42" s="59">
        <f>IF(Table1[[#This Row],[Current Stock]] &lt; Table1[[#This Row],[Reorder Point]], 1, 0)</f>
        <v>1</v>
      </c>
      <c r="R42" s="59" t="str" cm="1">
        <f t="array" ref="R42">INDEX(Table1[Supplier], MATCH(MAX(COUNTIFS(Table1[Supplier], Table1[Supplier], Table1[Below_Reorder_Flag], 1)), COUNTIFS(Table1[Supplier], Table1[Supplier], Table1[Below_Reorder_Flag], 1), 0))</f>
        <v>FurniturePro</v>
      </c>
    </row>
    <row r="43" spans="1:18" x14ac:dyDescent="0.3">
      <c r="A43" s="33" t="s">
        <v>41</v>
      </c>
      <c r="B43" s="6" t="s">
        <v>42</v>
      </c>
      <c r="C43" s="7" t="s">
        <v>32</v>
      </c>
      <c r="D43" s="8">
        <v>520</v>
      </c>
      <c r="E43" s="8">
        <v>40</v>
      </c>
      <c r="F43" s="8">
        <v>2</v>
      </c>
      <c r="G43" s="8">
        <v>120</v>
      </c>
      <c r="H43" s="8">
        <v>100</v>
      </c>
      <c r="I43" s="7" t="s">
        <v>33</v>
      </c>
      <c r="J43" s="35" t="s">
        <v>43</v>
      </c>
      <c r="K43" s="46" t="str">
        <f>IF(Table1[[#This Row],[Daily Sales Rate]]*Table1[[#This Row],[Lead Time (days)]]=Table1[[#This Row],[Reorder Point]],"Consistent", "Mismatch")</f>
        <v>Mismatch</v>
      </c>
      <c r="L43" s="50">
        <f>Table1[[#This Row],[Daily Sales Rate]]*Table1[[#This Row],[Lead Time (days)]]</f>
        <v>80</v>
      </c>
      <c r="M43" s="50" t="str">
        <f>IFERROR(IF(Table1[[#This Row],[Current Stock]]&lt;Table1[[#This Row],[Reorder Point]], "REORDER URGENT", "Stock OK"), "Data Issue")</f>
        <v>Stock OK</v>
      </c>
      <c r="N43" s="50">
        <f>Table1[[#This Row],[Current Stock]]*Table1[[#This Row],[Unit Cost (₹)]]</f>
        <v>62400</v>
      </c>
      <c r="O43" s="59">
        <f>IFERROR(Table1[[#This Row],[Current Stock]]/Table1[[#This Row],[Daily Sales Rate]], 0)</f>
        <v>13</v>
      </c>
      <c r="P43" s="59" t="str">
        <f>IF(AND(Table1[[#This Row],[Days_of_Stock_Remaining]] &gt; 0, Table1[[#This Row],[Days_of_Stock_Remaining]] &lt; 7), "CRITICAL", "OK")</f>
        <v>OK</v>
      </c>
      <c r="Q43" s="59">
        <f>IF(Table1[[#This Row],[Current Stock]] &lt; Table1[[#This Row],[Reorder Point]], 1, 0)</f>
        <v>0</v>
      </c>
      <c r="R43" s="59" t="str" cm="1">
        <f t="array" ref="R43">INDEX(Table1[Supplier], MATCH(MAX(COUNTIFS(Table1[Supplier], Table1[Supplier], Table1[Below_Reorder_Flag], 1)), COUNTIFS(Table1[Supplier], Table1[Supplier], Table1[Below_Reorder_Flag], 1), 0))</f>
        <v>FurniturePro</v>
      </c>
    </row>
    <row r="44" spans="1:18" x14ac:dyDescent="0.3">
      <c r="A44" s="34" t="s">
        <v>44</v>
      </c>
      <c r="B44" s="11" t="s">
        <v>45</v>
      </c>
      <c r="C44" s="12" t="s">
        <v>19</v>
      </c>
      <c r="D44" s="13">
        <v>29</v>
      </c>
      <c r="E44" s="13">
        <v>2</v>
      </c>
      <c r="F44" s="13">
        <v>10</v>
      </c>
      <c r="G44" s="13">
        <v>18500</v>
      </c>
      <c r="H44" s="13">
        <v>25</v>
      </c>
      <c r="I44" s="12" t="s">
        <v>20</v>
      </c>
      <c r="J44" s="36" t="s">
        <v>46</v>
      </c>
      <c r="K44" s="46" t="str">
        <f>IF(Table1[[#This Row],[Daily Sales Rate]]*Table1[[#This Row],[Lead Time (days)]]=Table1[[#This Row],[Reorder Point]],"Consistent", "Mismatch")</f>
        <v>Mismatch</v>
      </c>
      <c r="L44" s="50">
        <f>Table1[[#This Row],[Daily Sales Rate]]*Table1[[#This Row],[Lead Time (days)]]</f>
        <v>20</v>
      </c>
      <c r="M44" s="50" t="str">
        <f>IFERROR(IF(Table1[[#This Row],[Current Stock]]&lt;Table1[[#This Row],[Reorder Point]], "REORDER URGENT", "Stock OK"), "Data Issue")</f>
        <v>Stock OK</v>
      </c>
      <c r="N44" s="50">
        <f>Table1[[#This Row],[Current Stock]]*Table1[[#This Row],[Unit Cost (₹)]]</f>
        <v>536500</v>
      </c>
      <c r="O44" s="59">
        <f>IFERROR(Table1[[#This Row],[Current Stock]]/Table1[[#This Row],[Daily Sales Rate]], 0)</f>
        <v>14.5</v>
      </c>
      <c r="P44" s="59" t="str">
        <f>IF(AND(Table1[[#This Row],[Days_of_Stock_Remaining]] &gt; 0, Table1[[#This Row],[Days_of_Stock_Remaining]] &lt; 7), "CRITICAL", "OK")</f>
        <v>OK</v>
      </c>
      <c r="Q44" s="59">
        <f>IF(Table1[[#This Row],[Current Stock]] &lt; Table1[[#This Row],[Reorder Point]], 1, 0)</f>
        <v>0</v>
      </c>
      <c r="R44" s="59" t="str" cm="1">
        <f t="array" ref="R44">INDEX(Table1[Supplier], MATCH(MAX(COUNTIFS(Table1[Supplier], Table1[Supplier], Table1[Below_Reorder_Flag], 1)), COUNTIFS(Table1[Supplier], Table1[Supplier], Table1[Below_Reorder_Flag], 1), 0))</f>
        <v>FurniturePro</v>
      </c>
    </row>
    <row r="45" spans="1:18" x14ac:dyDescent="0.3">
      <c r="A45" s="33" t="s">
        <v>47</v>
      </c>
      <c r="B45" s="6" t="s">
        <v>48</v>
      </c>
      <c r="C45" s="7" t="s">
        <v>32</v>
      </c>
      <c r="D45" s="8">
        <v>850</v>
      </c>
      <c r="E45" s="8">
        <v>60</v>
      </c>
      <c r="F45" s="8">
        <v>2</v>
      </c>
      <c r="G45" s="8">
        <v>85</v>
      </c>
      <c r="H45" s="8">
        <v>150</v>
      </c>
      <c r="I45" s="7" t="s">
        <v>33</v>
      </c>
      <c r="J45" s="35" t="s">
        <v>49</v>
      </c>
      <c r="K45" s="46" t="str">
        <f>IF(Table1[[#This Row],[Daily Sales Rate]]*Table1[[#This Row],[Lead Time (days)]]=Table1[[#This Row],[Reorder Point]],"Consistent", "Mismatch")</f>
        <v>Mismatch</v>
      </c>
      <c r="L45" s="50">
        <f>Table1[[#This Row],[Daily Sales Rate]]*Table1[[#This Row],[Lead Time (days)]]</f>
        <v>120</v>
      </c>
      <c r="M45" s="50" t="str">
        <f>IFERROR(IF(Table1[[#This Row],[Current Stock]]&lt;Table1[[#This Row],[Reorder Point]], "REORDER URGENT", "Stock OK"), "Data Issue")</f>
        <v>Stock OK</v>
      </c>
      <c r="N45" s="50">
        <f>Table1[[#This Row],[Current Stock]]*Table1[[#This Row],[Unit Cost (₹)]]</f>
        <v>72250</v>
      </c>
      <c r="O45" s="59">
        <f>IFERROR(Table1[[#This Row],[Current Stock]]/Table1[[#This Row],[Daily Sales Rate]], 0)</f>
        <v>14.166666666666666</v>
      </c>
      <c r="P45" s="59" t="str">
        <f>IF(AND(Table1[[#This Row],[Days_of_Stock_Remaining]] &gt; 0, Table1[[#This Row],[Days_of_Stock_Remaining]] &lt; 7), "CRITICAL", "OK")</f>
        <v>OK</v>
      </c>
      <c r="Q45" s="59">
        <f>IF(Table1[[#This Row],[Current Stock]] &lt; Table1[[#This Row],[Reorder Point]], 1, 0)</f>
        <v>0</v>
      </c>
      <c r="R45" s="59" t="str" cm="1">
        <f t="array" ref="R45">INDEX(Table1[Supplier], MATCH(MAX(COUNTIFS(Table1[Supplier], Table1[Supplier], Table1[Below_Reorder_Flag], 1)), COUNTIFS(Table1[Supplier], Table1[Supplier], Table1[Below_Reorder_Flag], 1), 0))</f>
        <v>FurniturePro</v>
      </c>
    </row>
    <row r="46" spans="1:18" x14ac:dyDescent="0.3">
      <c r="A46" s="34" t="s">
        <v>50</v>
      </c>
      <c r="B46" s="11" t="s">
        <v>51</v>
      </c>
      <c r="C46" s="12" t="s">
        <v>19</v>
      </c>
      <c r="D46" s="13">
        <v>95</v>
      </c>
      <c r="E46" s="13">
        <v>6</v>
      </c>
      <c r="F46" s="13">
        <v>5</v>
      </c>
      <c r="G46" s="13">
        <v>4500</v>
      </c>
      <c r="H46" s="13">
        <v>35</v>
      </c>
      <c r="I46" s="12" t="s">
        <v>20</v>
      </c>
      <c r="J46" s="36" t="s">
        <v>52</v>
      </c>
      <c r="K46" s="46" t="str">
        <f>IF(Table1[[#This Row],[Daily Sales Rate]]*Table1[[#This Row],[Lead Time (days)]]=Table1[[#This Row],[Reorder Point]],"Consistent", "Mismatch")</f>
        <v>Mismatch</v>
      </c>
      <c r="L46" s="50">
        <f>Table1[[#This Row],[Daily Sales Rate]]*Table1[[#This Row],[Lead Time (days)]]</f>
        <v>30</v>
      </c>
      <c r="M46" s="50" t="str">
        <f>IFERROR(IF(Table1[[#This Row],[Current Stock]]&lt;Table1[[#This Row],[Reorder Point]], "REORDER URGENT", "Stock OK"), "Data Issue")</f>
        <v>Stock OK</v>
      </c>
      <c r="N46" s="50">
        <f>Table1[[#This Row],[Current Stock]]*Table1[[#This Row],[Unit Cost (₹)]]</f>
        <v>427500</v>
      </c>
      <c r="O46" s="59">
        <f>IFERROR(Table1[[#This Row],[Current Stock]]/Table1[[#This Row],[Daily Sales Rate]], 0)</f>
        <v>15.833333333333334</v>
      </c>
      <c r="P46" s="59" t="str">
        <f>IF(AND(Table1[[#This Row],[Days_of_Stock_Remaining]] &gt; 0, Table1[[#This Row],[Days_of_Stock_Remaining]] &lt; 7), "CRITICAL", "OK")</f>
        <v>OK</v>
      </c>
      <c r="Q46" s="59">
        <f>IF(Table1[[#This Row],[Current Stock]] &lt; Table1[[#This Row],[Reorder Point]], 1, 0)</f>
        <v>0</v>
      </c>
      <c r="R46" s="59" t="str" cm="1">
        <f t="array" ref="R46">INDEX(Table1[Supplier], MATCH(MAX(COUNTIFS(Table1[Supplier], Table1[Supplier], Table1[Below_Reorder_Flag], 1)), COUNTIFS(Table1[Supplier], Table1[Supplier], Table1[Below_Reorder_Flag], 1), 0))</f>
        <v>FurniturePro</v>
      </c>
    </row>
    <row r="47" spans="1:18" x14ac:dyDescent="0.3">
      <c r="A47" s="33" t="s">
        <v>53</v>
      </c>
      <c r="B47" s="6" t="s">
        <v>54</v>
      </c>
      <c r="C47" s="7" t="s">
        <v>27</v>
      </c>
      <c r="D47" s="8">
        <v>12</v>
      </c>
      <c r="E47" s="8">
        <v>1</v>
      </c>
      <c r="F47" s="8">
        <v>18</v>
      </c>
      <c r="G47" s="8">
        <v>6800</v>
      </c>
      <c r="H47" s="8">
        <v>20</v>
      </c>
      <c r="I47" s="7" t="s">
        <v>28</v>
      </c>
      <c r="J47" s="35" t="s">
        <v>55</v>
      </c>
      <c r="K47" s="46" t="str">
        <f>IF(Table1[[#This Row],[Daily Sales Rate]]*Table1[[#This Row],[Lead Time (days)]]=Table1[[#This Row],[Reorder Point]],"Consistent", "Mismatch")</f>
        <v>Mismatch</v>
      </c>
      <c r="L47" s="50">
        <f>Table1[[#This Row],[Daily Sales Rate]]*Table1[[#This Row],[Lead Time (days)]]</f>
        <v>18</v>
      </c>
      <c r="M47" s="50" t="str">
        <f>IFERROR(IF(Table1[[#This Row],[Current Stock]]&lt;Table1[[#This Row],[Reorder Point]], "REORDER URGENT", "Stock OK"), "Data Issue")</f>
        <v>REORDER URGENT</v>
      </c>
      <c r="N47" s="50">
        <f>Table1[[#This Row],[Current Stock]]*Table1[[#This Row],[Unit Cost (₹)]]</f>
        <v>81600</v>
      </c>
      <c r="O47" s="59">
        <f>IFERROR(Table1[[#This Row],[Current Stock]]/Table1[[#This Row],[Daily Sales Rate]], 0)</f>
        <v>12</v>
      </c>
      <c r="P47" s="59" t="str">
        <f>IF(AND(Table1[[#This Row],[Days_of_Stock_Remaining]] &gt; 0, Table1[[#This Row],[Days_of_Stock_Remaining]] &lt; 7), "CRITICAL", "OK")</f>
        <v>OK</v>
      </c>
      <c r="Q47" s="59">
        <f>IF(Table1[[#This Row],[Current Stock]] &lt; Table1[[#This Row],[Reorder Point]], 1, 0)</f>
        <v>1</v>
      </c>
      <c r="R47" s="59" t="str" cm="1">
        <f t="array" ref="R47">INDEX(Table1[Supplier], MATCH(MAX(COUNTIFS(Table1[Supplier], Table1[Supplier], Table1[Below_Reorder_Flag], 1)), COUNTIFS(Table1[Supplier], Table1[Supplier], Table1[Below_Reorder_Flag], 1), 0))</f>
        <v>FurniturePro</v>
      </c>
    </row>
    <row r="48" spans="1:18" x14ac:dyDescent="0.3">
      <c r="A48" s="34" t="s">
        <v>56</v>
      </c>
      <c r="B48" s="11" t="s">
        <v>57</v>
      </c>
      <c r="C48" s="12" t="s">
        <v>19</v>
      </c>
      <c r="D48" s="13">
        <v>210</v>
      </c>
      <c r="E48" s="13">
        <v>12</v>
      </c>
      <c r="F48" s="13">
        <v>4</v>
      </c>
      <c r="G48" s="13">
        <v>650</v>
      </c>
      <c r="H48" s="13">
        <v>55</v>
      </c>
      <c r="I48" s="12" t="s">
        <v>20</v>
      </c>
      <c r="J48" s="36" t="s">
        <v>58</v>
      </c>
      <c r="K48" s="46" t="str">
        <f>IF(Table1[[#This Row],[Daily Sales Rate]]*Table1[[#This Row],[Lead Time (days)]]=Table1[[#This Row],[Reorder Point]],"Consistent", "Mismatch")</f>
        <v>Mismatch</v>
      </c>
      <c r="L48" s="50">
        <f>Table1[[#This Row],[Daily Sales Rate]]*Table1[[#This Row],[Lead Time (days)]]</f>
        <v>48</v>
      </c>
      <c r="M48" s="50" t="str">
        <f>IFERROR(IF(Table1[[#This Row],[Current Stock]]&lt;Table1[[#This Row],[Reorder Point]], "REORDER URGENT", "Stock OK"), "Data Issue")</f>
        <v>Stock OK</v>
      </c>
      <c r="N48" s="50">
        <f>Table1[[#This Row],[Current Stock]]*Table1[[#This Row],[Unit Cost (₹)]]</f>
        <v>136500</v>
      </c>
      <c r="O48" s="59">
        <f>IFERROR(Table1[[#This Row],[Current Stock]]/Table1[[#This Row],[Daily Sales Rate]], 0)</f>
        <v>17.5</v>
      </c>
      <c r="P48" s="59" t="str">
        <f>IF(AND(Table1[[#This Row],[Days_of_Stock_Remaining]] &gt; 0, Table1[[#This Row],[Days_of_Stock_Remaining]] &lt; 7), "CRITICAL", "OK")</f>
        <v>OK</v>
      </c>
      <c r="Q48" s="59">
        <f>IF(Table1[[#This Row],[Current Stock]] &lt; Table1[[#This Row],[Reorder Point]], 1, 0)</f>
        <v>0</v>
      </c>
      <c r="R48" s="59" t="str" cm="1">
        <f t="array" ref="R48">INDEX(Table1[Supplier], MATCH(MAX(COUNTIFS(Table1[Supplier], Table1[Supplier], Table1[Below_Reorder_Flag], 1)), COUNTIFS(Table1[Supplier], Table1[Supplier], Table1[Below_Reorder_Flag], 1), 0))</f>
        <v>FurniturePro</v>
      </c>
    </row>
    <row r="49" spans="1:18" x14ac:dyDescent="0.3">
      <c r="A49" s="33" t="s">
        <v>59</v>
      </c>
      <c r="B49" s="6" t="s">
        <v>60</v>
      </c>
      <c r="C49" s="7" t="s">
        <v>32</v>
      </c>
      <c r="D49" s="8">
        <v>175</v>
      </c>
      <c r="E49" s="8">
        <v>8</v>
      </c>
      <c r="F49" s="8">
        <v>3</v>
      </c>
      <c r="G49" s="8">
        <v>280</v>
      </c>
      <c r="H49" s="8">
        <v>30</v>
      </c>
      <c r="I49" s="7" t="s">
        <v>33</v>
      </c>
      <c r="J49" s="35" t="s">
        <v>61</v>
      </c>
      <c r="K49" s="46" t="str">
        <f>IF(Table1[[#This Row],[Daily Sales Rate]]*Table1[[#This Row],[Lead Time (days)]]=Table1[[#This Row],[Reorder Point]],"Consistent", "Mismatch")</f>
        <v>Mismatch</v>
      </c>
      <c r="L49" s="50">
        <f>Table1[[#This Row],[Daily Sales Rate]]*Table1[[#This Row],[Lead Time (days)]]</f>
        <v>24</v>
      </c>
      <c r="M49" s="50" t="str">
        <f>IFERROR(IF(Table1[[#This Row],[Current Stock]]&lt;Table1[[#This Row],[Reorder Point]], "REORDER URGENT", "Stock OK"), "Data Issue")</f>
        <v>Stock OK</v>
      </c>
      <c r="N49" s="50">
        <f>Table1[[#This Row],[Current Stock]]*Table1[[#This Row],[Unit Cost (₹)]]</f>
        <v>49000</v>
      </c>
      <c r="O49" s="59">
        <f>IFERROR(Table1[[#This Row],[Current Stock]]/Table1[[#This Row],[Daily Sales Rate]], 0)</f>
        <v>21.875</v>
      </c>
      <c r="P49" s="59" t="str">
        <f>IF(AND(Table1[[#This Row],[Days_of_Stock_Remaining]] &gt; 0, Table1[[#This Row],[Days_of_Stock_Remaining]] &lt; 7), "CRITICAL", "OK")</f>
        <v>OK</v>
      </c>
      <c r="Q49" s="59">
        <f>IF(Table1[[#This Row],[Current Stock]] &lt; Table1[[#This Row],[Reorder Point]], 1, 0)</f>
        <v>0</v>
      </c>
      <c r="R49" s="59" t="str" cm="1">
        <f t="array" ref="R49">INDEX(Table1[Supplier], MATCH(MAX(COUNTIFS(Table1[Supplier], Table1[Supplier], Table1[Below_Reorder_Flag], 1)), COUNTIFS(Table1[Supplier], Table1[Supplier], Table1[Below_Reorder_Flag], 1), 0))</f>
        <v>FurniturePro</v>
      </c>
    </row>
    <row r="50" spans="1:18" x14ac:dyDescent="0.3">
      <c r="A50" s="34" t="s">
        <v>62</v>
      </c>
      <c r="B50" s="11" t="s">
        <v>63</v>
      </c>
      <c r="C50" s="12" t="s">
        <v>19</v>
      </c>
      <c r="D50" s="13">
        <v>38</v>
      </c>
      <c r="E50" s="13">
        <v>3</v>
      </c>
      <c r="F50" s="13">
        <v>7</v>
      </c>
      <c r="G50" s="13">
        <v>3200</v>
      </c>
      <c r="H50" s="13">
        <v>25</v>
      </c>
      <c r="I50" s="12" t="s">
        <v>20</v>
      </c>
      <c r="J50" s="36" t="s">
        <v>64</v>
      </c>
      <c r="K50" s="46" t="str">
        <f>IF(Table1[[#This Row],[Daily Sales Rate]]*Table1[[#This Row],[Lead Time (days)]]=Table1[[#This Row],[Reorder Point]],"Consistent", "Mismatch")</f>
        <v>Mismatch</v>
      </c>
      <c r="L50" s="50">
        <f>Table1[[#This Row],[Daily Sales Rate]]*Table1[[#This Row],[Lead Time (days)]]</f>
        <v>21</v>
      </c>
      <c r="M50" s="50" t="str">
        <f>IFERROR(IF(Table1[[#This Row],[Current Stock]]&lt;Table1[[#This Row],[Reorder Point]], "REORDER URGENT", "Stock OK"), "Data Issue")</f>
        <v>Stock OK</v>
      </c>
      <c r="N50" s="50">
        <f>Table1[[#This Row],[Current Stock]]*Table1[[#This Row],[Unit Cost (₹)]]</f>
        <v>121600</v>
      </c>
      <c r="O50" s="59">
        <f>IFERROR(Table1[[#This Row],[Current Stock]]/Table1[[#This Row],[Daily Sales Rate]], 0)</f>
        <v>12.666666666666666</v>
      </c>
      <c r="P50" s="59" t="str">
        <f>IF(AND(Table1[[#This Row],[Days_of_Stock_Remaining]] &gt; 0, Table1[[#This Row],[Days_of_Stock_Remaining]] &lt; 7), "CRITICAL", "OK")</f>
        <v>OK</v>
      </c>
      <c r="Q50" s="59">
        <f>IF(Table1[[#This Row],[Current Stock]] &lt; Table1[[#This Row],[Reorder Point]], 1, 0)</f>
        <v>0</v>
      </c>
      <c r="R50" s="59" t="str" cm="1">
        <f t="array" ref="R50">INDEX(Table1[Supplier], MATCH(MAX(COUNTIFS(Table1[Supplier], Table1[Supplier], Table1[Below_Reorder_Flag], 1)), COUNTIFS(Table1[Supplier], Table1[Supplier], Table1[Below_Reorder_Flag], 1), 0))</f>
        <v>FurniturePro</v>
      </c>
    </row>
    <row r="51" spans="1:18" x14ac:dyDescent="0.3">
      <c r="A51" s="33" t="s">
        <v>65</v>
      </c>
      <c r="B51" s="6" t="s">
        <v>66</v>
      </c>
      <c r="C51" s="7" t="s">
        <v>27</v>
      </c>
      <c r="D51" s="8">
        <v>6</v>
      </c>
      <c r="E51" s="8">
        <v>0</v>
      </c>
      <c r="F51" s="8">
        <v>25</v>
      </c>
      <c r="G51" s="8">
        <v>12000</v>
      </c>
      <c r="H51" s="8">
        <v>10</v>
      </c>
      <c r="I51" s="7" t="s">
        <v>28</v>
      </c>
      <c r="J51" s="35" t="s">
        <v>67</v>
      </c>
      <c r="K51" s="46" t="str">
        <f>IF(Table1[[#This Row],[Daily Sales Rate]]*Table1[[#This Row],[Lead Time (days)]]=Table1[[#This Row],[Reorder Point]],"Consistent", "Mismatch")</f>
        <v>Mismatch</v>
      </c>
      <c r="L51" s="50">
        <f>Table1[[#This Row],[Daily Sales Rate]]*Table1[[#This Row],[Lead Time (days)]]</f>
        <v>0</v>
      </c>
      <c r="M51" s="50" t="str">
        <f>IFERROR(IF(Table1[[#This Row],[Current Stock]]&lt;Table1[[#This Row],[Reorder Point]], "REORDER URGENT", "Stock OK"), "Data Issue")</f>
        <v>REORDER URGENT</v>
      </c>
      <c r="N51" s="50">
        <f>Table1[[#This Row],[Current Stock]]*Table1[[#This Row],[Unit Cost (₹)]]</f>
        <v>72000</v>
      </c>
      <c r="O51" s="59">
        <f>IFERROR(Table1[[#This Row],[Current Stock]]/Table1[[#This Row],[Daily Sales Rate]], 0)</f>
        <v>0</v>
      </c>
      <c r="P51" s="59" t="str">
        <f>IF(AND(Table1[[#This Row],[Days_of_Stock_Remaining]] &gt; 0, Table1[[#This Row],[Days_of_Stock_Remaining]] &lt; 7), "CRITICAL", "OK")</f>
        <v>OK</v>
      </c>
      <c r="Q51" s="59">
        <f>IF(Table1[[#This Row],[Current Stock]] &lt; Table1[[#This Row],[Reorder Point]], 1, 0)</f>
        <v>1</v>
      </c>
      <c r="R51" s="59" t="str" cm="1">
        <f t="array" ref="R51">INDEX(Table1[Supplier], MATCH(MAX(COUNTIFS(Table1[Supplier], Table1[Supplier], Table1[Below_Reorder_Flag], 1)), COUNTIFS(Table1[Supplier], Table1[Supplier], Table1[Below_Reorder_Flag], 1), 0))</f>
        <v>FurniturePro</v>
      </c>
    </row>
    <row r="52" spans="1:18" x14ac:dyDescent="0.3">
      <c r="A52" s="34" t="s">
        <v>68</v>
      </c>
      <c r="B52" s="11" t="s">
        <v>69</v>
      </c>
      <c r="C52" s="12" t="s">
        <v>19</v>
      </c>
      <c r="D52" s="13">
        <v>55</v>
      </c>
      <c r="E52" s="13">
        <v>4</v>
      </c>
      <c r="F52" s="13">
        <v>6</v>
      </c>
      <c r="G52" s="13">
        <v>2100</v>
      </c>
      <c r="H52" s="13">
        <v>28</v>
      </c>
      <c r="I52" s="12" t="s">
        <v>20</v>
      </c>
      <c r="J52" s="36" t="s">
        <v>70</v>
      </c>
      <c r="K52" s="46" t="str">
        <f>IF(Table1[[#This Row],[Daily Sales Rate]]*Table1[[#This Row],[Lead Time (days)]]=Table1[[#This Row],[Reorder Point]],"Consistent", "Mismatch")</f>
        <v>Mismatch</v>
      </c>
      <c r="L52" s="50">
        <f>Table1[[#This Row],[Daily Sales Rate]]*Table1[[#This Row],[Lead Time (days)]]</f>
        <v>24</v>
      </c>
      <c r="M52" s="50" t="str">
        <f>IFERROR(IF(Table1[[#This Row],[Current Stock]]&lt;Table1[[#This Row],[Reorder Point]], "REORDER URGENT", "Stock OK"), "Data Issue")</f>
        <v>Stock OK</v>
      </c>
      <c r="N52" s="50">
        <f>Table1[[#This Row],[Current Stock]]*Table1[[#This Row],[Unit Cost (₹)]]</f>
        <v>115500</v>
      </c>
      <c r="O52" s="59">
        <f>IFERROR(Table1[[#This Row],[Current Stock]]/Table1[[#This Row],[Daily Sales Rate]], 0)</f>
        <v>13.75</v>
      </c>
      <c r="P52" s="59" t="str">
        <f>IF(AND(Table1[[#This Row],[Days_of_Stock_Remaining]] &gt; 0, Table1[[#This Row],[Days_of_Stock_Remaining]] &lt; 7), "CRITICAL", "OK")</f>
        <v>OK</v>
      </c>
      <c r="Q52" s="59">
        <f>IF(Table1[[#This Row],[Current Stock]] &lt; Table1[[#This Row],[Reorder Point]], 1, 0)</f>
        <v>0</v>
      </c>
      <c r="R52" s="59" t="str" cm="1">
        <f t="array" ref="R52">INDEX(Table1[Supplier], MATCH(MAX(COUNTIFS(Table1[Supplier], Table1[Supplier], Table1[Below_Reorder_Flag], 1)), COUNTIFS(Table1[Supplier], Table1[Supplier], Table1[Below_Reorder_Flag], 1), 0))</f>
        <v>FurniturePro</v>
      </c>
    </row>
    <row r="53" spans="1:18" x14ac:dyDescent="0.3">
      <c r="A53" s="33" t="s">
        <v>71</v>
      </c>
      <c r="B53" s="6" t="s">
        <v>72</v>
      </c>
      <c r="C53" s="7" t="s">
        <v>32</v>
      </c>
      <c r="D53" s="8">
        <v>960</v>
      </c>
      <c r="E53" s="8">
        <v>50</v>
      </c>
      <c r="F53" s="8">
        <v>2</v>
      </c>
      <c r="G53" s="8">
        <v>60</v>
      </c>
      <c r="H53" s="8">
        <v>120</v>
      </c>
      <c r="I53" s="7" t="s">
        <v>33</v>
      </c>
      <c r="J53" s="35" t="s">
        <v>73</v>
      </c>
      <c r="K53" s="46" t="str">
        <f>IF(Table1[[#This Row],[Daily Sales Rate]]*Table1[[#This Row],[Lead Time (days)]]=Table1[[#This Row],[Reorder Point]],"Consistent", "Mismatch")</f>
        <v>Mismatch</v>
      </c>
      <c r="L53" s="50">
        <f>Table1[[#This Row],[Daily Sales Rate]]*Table1[[#This Row],[Lead Time (days)]]</f>
        <v>100</v>
      </c>
      <c r="M53" s="50" t="str">
        <f>IFERROR(IF(Table1[[#This Row],[Current Stock]]&lt;Table1[[#This Row],[Reorder Point]], "REORDER URGENT", "Stock OK"), "Data Issue")</f>
        <v>Stock OK</v>
      </c>
      <c r="N53" s="50">
        <f>Table1[[#This Row],[Current Stock]]*Table1[[#This Row],[Unit Cost (₹)]]</f>
        <v>57600</v>
      </c>
      <c r="O53" s="59">
        <f>IFERROR(Table1[[#This Row],[Current Stock]]/Table1[[#This Row],[Daily Sales Rate]], 0)</f>
        <v>19.2</v>
      </c>
      <c r="P53" s="59" t="str">
        <f>IF(AND(Table1[[#This Row],[Days_of_Stock_Remaining]] &gt; 0, Table1[[#This Row],[Days_of_Stock_Remaining]] &lt; 7), "CRITICAL", "OK")</f>
        <v>OK</v>
      </c>
      <c r="Q53" s="59">
        <f>IF(Table1[[#This Row],[Current Stock]] &lt; Table1[[#This Row],[Reorder Point]], 1, 0)</f>
        <v>0</v>
      </c>
      <c r="R53" s="59" t="str" cm="1">
        <f t="array" ref="R53">INDEX(Table1[Supplier], MATCH(MAX(COUNTIFS(Table1[Supplier], Table1[Supplier], Table1[Below_Reorder_Flag], 1)), COUNTIFS(Table1[Supplier], Table1[Supplier], Table1[Below_Reorder_Flag], 1), 0))</f>
        <v>FurniturePro</v>
      </c>
    </row>
    <row r="54" spans="1:18" x14ac:dyDescent="0.3">
      <c r="A54" s="34" t="s">
        <v>74</v>
      </c>
      <c r="B54" s="11" t="s">
        <v>75</v>
      </c>
      <c r="C54" s="12" t="s">
        <v>19</v>
      </c>
      <c r="D54" s="13">
        <v>14</v>
      </c>
      <c r="E54" s="13">
        <v>1</v>
      </c>
      <c r="F54" s="13">
        <v>12</v>
      </c>
      <c r="G54" s="13">
        <v>28000</v>
      </c>
      <c r="H54" s="13">
        <v>15</v>
      </c>
      <c r="I54" s="12" t="s">
        <v>20</v>
      </c>
      <c r="J54" s="36" t="s">
        <v>76</v>
      </c>
      <c r="K54" s="46" t="str">
        <f>IF(Table1[[#This Row],[Daily Sales Rate]]*Table1[[#This Row],[Lead Time (days)]]=Table1[[#This Row],[Reorder Point]],"Consistent", "Mismatch")</f>
        <v>Mismatch</v>
      </c>
      <c r="L54" s="50">
        <f>Table1[[#This Row],[Daily Sales Rate]]*Table1[[#This Row],[Lead Time (days)]]</f>
        <v>12</v>
      </c>
      <c r="M54" s="50" t="str">
        <f>IFERROR(IF(Table1[[#This Row],[Current Stock]]&lt;Table1[[#This Row],[Reorder Point]], "REORDER URGENT", "Stock OK"), "Data Issue")</f>
        <v>REORDER URGENT</v>
      </c>
      <c r="N54" s="50">
        <f>Table1[[#This Row],[Current Stock]]*Table1[[#This Row],[Unit Cost (₹)]]</f>
        <v>392000</v>
      </c>
      <c r="O54" s="59">
        <f>IFERROR(Table1[[#This Row],[Current Stock]]/Table1[[#This Row],[Daily Sales Rate]], 0)</f>
        <v>14</v>
      </c>
      <c r="P54" s="59" t="str">
        <f>IF(AND(Table1[[#This Row],[Days_of_Stock_Remaining]] &gt; 0, Table1[[#This Row],[Days_of_Stock_Remaining]] &lt; 7), "CRITICAL", "OK")</f>
        <v>OK</v>
      </c>
      <c r="Q54" s="59">
        <f>IF(Table1[[#This Row],[Current Stock]] &lt; Table1[[#This Row],[Reorder Point]], 1, 0)</f>
        <v>1</v>
      </c>
      <c r="R54" s="59" t="str" cm="1">
        <f t="array" ref="R54">INDEX(Table1[Supplier], MATCH(MAX(COUNTIFS(Table1[Supplier], Table1[Supplier], Table1[Below_Reorder_Flag], 1)), COUNTIFS(Table1[Supplier], Table1[Supplier], Table1[Below_Reorder_Flag], 1), 0))</f>
        <v>FurniturePro</v>
      </c>
    </row>
    <row r="55" spans="1:18" x14ac:dyDescent="0.3">
      <c r="A55" s="33" t="s">
        <v>77</v>
      </c>
      <c r="B55" s="6" t="s">
        <v>78</v>
      </c>
      <c r="C55" s="7" t="s">
        <v>27</v>
      </c>
      <c r="D55" s="8">
        <v>9</v>
      </c>
      <c r="E55" s="8">
        <v>0</v>
      </c>
      <c r="F55" s="8">
        <v>20</v>
      </c>
      <c r="G55" s="8">
        <v>5500</v>
      </c>
      <c r="H55" s="8">
        <v>8</v>
      </c>
      <c r="I55" s="7" t="s">
        <v>28</v>
      </c>
      <c r="J55" s="35" t="s">
        <v>79</v>
      </c>
      <c r="K55" s="46" t="str">
        <f>IF(Table1[[#This Row],[Daily Sales Rate]]*Table1[[#This Row],[Lead Time (days)]]=Table1[[#This Row],[Reorder Point]],"Consistent", "Mismatch")</f>
        <v>Mismatch</v>
      </c>
      <c r="L55" s="50">
        <f>Table1[[#This Row],[Daily Sales Rate]]*Table1[[#This Row],[Lead Time (days)]]</f>
        <v>0</v>
      </c>
      <c r="M55" s="50" t="str">
        <f>IFERROR(IF(Table1[[#This Row],[Current Stock]]&lt;Table1[[#This Row],[Reorder Point]], "REORDER URGENT", "Stock OK"), "Data Issue")</f>
        <v>Stock OK</v>
      </c>
      <c r="N55" s="50">
        <f>Table1[[#This Row],[Current Stock]]*Table1[[#This Row],[Unit Cost (₹)]]</f>
        <v>49500</v>
      </c>
      <c r="O55" s="59">
        <f>IFERROR(Table1[[#This Row],[Current Stock]]/Table1[[#This Row],[Daily Sales Rate]], 0)</f>
        <v>0</v>
      </c>
      <c r="P55" s="59" t="str">
        <f>IF(AND(Table1[[#This Row],[Days_of_Stock_Remaining]] &gt; 0, Table1[[#This Row],[Days_of_Stock_Remaining]] &lt; 7), "CRITICAL", "OK")</f>
        <v>OK</v>
      </c>
      <c r="Q55" s="59">
        <f>IF(Table1[[#This Row],[Current Stock]] &lt; Table1[[#This Row],[Reorder Point]], 1, 0)</f>
        <v>0</v>
      </c>
      <c r="R55" s="59" t="str" cm="1">
        <f t="array" ref="R55">INDEX(Table1[Supplier], MATCH(MAX(COUNTIFS(Table1[Supplier], Table1[Supplier], Table1[Below_Reorder_Flag], 1)), COUNTIFS(Table1[Supplier], Table1[Supplier], Table1[Below_Reorder_Flag], 1), 0))</f>
        <v>FurniturePro</v>
      </c>
    </row>
    <row r="56" spans="1:18" x14ac:dyDescent="0.3">
      <c r="A56" s="40" t="s">
        <v>80</v>
      </c>
      <c r="B56" s="41" t="s">
        <v>81</v>
      </c>
      <c r="C56" s="42" t="s">
        <v>32</v>
      </c>
      <c r="D56" s="43">
        <v>88</v>
      </c>
      <c r="E56" s="43">
        <v>7</v>
      </c>
      <c r="F56" s="43">
        <v>4</v>
      </c>
      <c r="G56" s="43">
        <v>1800</v>
      </c>
      <c r="H56" s="43">
        <v>32</v>
      </c>
      <c r="I56" s="42" t="s">
        <v>33</v>
      </c>
      <c r="J56" s="44" t="s">
        <v>82</v>
      </c>
      <c r="K56" s="48" t="str">
        <f>IF(Table1[[#This Row],[Daily Sales Rate]]*Table1[[#This Row],[Lead Time (days)]]=Table1[[#This Row],[Reorder Point]],"Consistent", "Mismatch")</f>
        <v>Mismatch</v>
      </c>
      <c r="L56" s="50">
        <f>Table1[[#This Row],[Daily Sales Rate]]*Table1[[#This Row],[Lead Time (days)]]</f>
        <v>28</v>
      </c>
      <c r="M56" s="50" t="str">
        <f>IFERROR(IF(Table1[[#This Row],[Current Stock]]&lt;Table1[[#This Row],[Reorder Point]], "REORDER URGENT", "Stock OK"), "Data Issue")</f>
        <v>Stock OK</v>
      </c>
      <c r="N56" s="50">
        <f>Table1[[#This Row],[Current Stock]]*Table1[[#This Row],[Unit Cost (₹)]]</f>
        <v>158400</v>
      </c>
      <c r="O56" s="59">
        <f>IFERROR(Table1[[#This Row],[Current Stock]]/Table1[[#This Row],[Daily Sales Rate]], 0)</f>
        <v>12.571428571428571</v>
      </c>
      <c r="P56" s="59" t="str">
        <f>IF(AND(Table1[[#This Row],[Days_of_Stock_Remaining]] &gt; 0, Table1[[#This Row],[Days_of_Stock_Remaining]] &lt; 7), "CRITICAL", "OK")</f>
        <v>OK</v>
      </c>
      <c r="Q56" s="59">
        <f>IF(Table1[[#This Row],[Current Stock]] &lt; Table1[[#This Row],[Reorder Point]], 1, 0)</f>
        <v>0</v>
      </c>
      <c r="R56" s="59" t="str" cm="1">
        <f t="array" ref="R56">INDEX(Table1[Supplier], MATCH(MAX(COUNTIFS(Table1[Supplier], Table1[Supplier], Table1[Below_Reorder_Flag], 1)), COUNTIFS(Table1[Supplier], Table1[Supplier], Table1[Below_Reorder_Flag], 1), 0))</f>
        <v>FurniturePro</v>
      </c>
    </row>
    <row r="58" spans="1:18" x14ac:dyDescent="0.3">
      <c r="A58" s="20" t="s">
        <v>83</v>
      </c>
      <c r="B58" s="1"/>
      <c r="C58" s="1"/>
      <c r="D58" s="1"/>
      <c r="E58" s="1"/>
      <c r="F58" s="1"/>
      <c r="G58" s="1"/>
      <c r="H58" s="1"/>
      <c r="I58" s="1"/>
      <c r="J58" s="1"/>
    </row>
    <row r="59" spans="1:18" x14ac:dyDescent="0.3">
      <c r="A59" s="45" t="s">
        <v>85</v>
      </c>
    </row>
    <row r="61" spans="1:18" x14ac:dyDescent="0.3">
      <c r="A61" s="20" t="s">
        <v>86</v>
      </c>
      <c r="B61" s="1"/>
      <c r="C61" s="1"/>
      <c r="D61" s="1"/>
      <c r="E61" s="1"/>
      <c r="F61" s="1"/>
      <c r="G61" s="1"/>
      <c r="H61" s="1"/>
      <c r="I61" s="1"/>
      <c r="J61" s="1"/>
    </row>
    <row r="62" spans="1:18" x14ac:dyDescent="0.3">
      <c r="A62" s="45" t="s">
        <v>89</v>
      </c>
    </row>
    <row r="64" spans="1:18" x14ac:dyDescent="0.3">
      <c r="A64" s="20" t="s">
        <v>90</v>
      </c>
      <c r="B64" s="1"/>
      <c r="C64" s="1"/>
      <c r="D64" s="1"/>
      <c r="E64" s="1"/>
      <c r="F64" s="1"/>
      <c r="G64" s="1"/>
      <c r="H64" s="1"/>
      <c r="I64" s="1"/>
      <c r="J64" s="1"/>
    </row>
    <row r="66" spans="1:10" x14ac:dyDescent="0.3">
      <c r="A66" s="45" t="s">
        <v>93</v>
      </c>
    </row>
    <row r="67" spans="1:10" x14ac:dyDescent="0.3">
      <c r="A67" s="51" t="s">
        <v>9</v>
      </c>
      <c r="B67" s="52" t="s">
        <v>94</v>
      </c>
    </row>
    <row r="68" spans="1:10" x14ac:dyDescent="0.3">
      <c r="A68" s="53" t="s">
        <v>19</v>
      </c>
      <c r="B68" s="54">
        <f>SUMIFS(Table1[Inventry_Value], Table1[Category], "Electronics")</f>
        <v>4401200</v>
      </c>
    </row>
    <row r="69" spans="1:10" x14ac:dyDescent="0.3">
      <c r="A69" s="55" t="s">
        <v>27</v>
      </c>
      <c r="B69" s="56">
        <f>SUMIFS(Table1[Inventry_Value], Table1[Category], "Furniture")</f>
        <v>532100</v>
      </c>
    </row>
    <row r="70" spans="1:10" x14ac:dyDescent="0.3">
      <c r="A70" s="57" t="s">
        <v>32</v>
      </c>
      <c r="B70" s="58">
        <f>SUMIFS(Table1[Inventry_Value], Table1[Category], "Stationery")</f>
        <v>532650</v>
      </c>
    </row>
    <row r="72" spans="1:10" ht="14.4" customHeight="1" x14ac:dyDescent="0.3">
      <c r="A72" s="20" t="s">
        <v>95</v>
      </c>
      <c r="B72" s="1"/>
      <c r="C72" s="1"/>
      <c r="D72" s="1"/>
      <c r="E72" s="1"/>
      <c r="F72" s="1"/>
      <c r="G72" s="1"/>
      <c r="H72" s="1"/>
      <c r="I72" s="1"/>
      <c r="J72" s="1"/>
    </row>
    <row r="74" spans="1:10" x14ac:dyDescent="0.3">
      <c r="A74" s="20" t="s">
        <v>98</v>
      </c>
      <c r="B74" s="1"/>
      <c r="C74" s="1"/>
      <c r="D74" s="1"/>
      <c r="E74" s="1"/>
      <c r="F74" s="1"/>
      <c r="G74" s="1"/>
      <c r="H74" s="1"/>
      <c r="I74" s="1"/>
      <c r="J74" s="1"/>
    </row>
    <row r="76" spans="1:10" x14ac:dyDescent="0.3">
      <c r="A76" s="20" t="s">
        <v>101</v>
      </c>
      <c r="B76" s="1"/>
      <c r="C76" s="1"/>
      <c r="D76" s="1"/>
      <c r="E76" s="1"/>
      <c r="F76" s="1"/>
      <c r="G76" s="1"/>
      <c r="H76" s="1"/>
      <c r="I76" s="1"/>
      <c r="J76" s="1"/>
    </row>
    <row r="78" spans="1:10" x14ac:dyDescent="0.3">
      <c r="A78" s="60" t="s">
        <v>102</v>
      </c>
      <c r="B78" t="s">
        <v>104</v>
      </c>
      <c r="C78" t="s">
        <v>105</v>
      </c>
      <c r="D78" t="s">
        <v>106</v>
      </c>
      <c r="E78" t="s">
        <v>107</v>
      </c>
    </row>
    <row r="79" spans="1:10" x14ac:dyDescent="0.3">
      <c r="A79" s="61" t="s">
        <v>19</v>
      </c>
      <c r="B79" s="62">
        <v>9</v>
      </c>
      <c r="C79" s="62">
        <v>4401200</v>
      </c>
      <c r="D79" s="62">
        <v>6.8888888888888893</v>
      </c>
      <c r="E79" s="62">
        <v>9</v>
      </c>
    </row>
    <row r="80" spans="1:10" x14ac:dyDescent="0.3">
      <c r="A80" s="61" t="s">
        <v>27</v>
      </c>
      <c r="B80" s="62">
        <v>5</v>
      </c>
      <c r="C80" s="62">
        <v>532100</v>
      </c>
      <c r="D80" s="62">
        <v>19.600000000000001</v>
      </c>
      <c r="E80" s="62">
        <v>5</v>
      </c>
    </row>
    <row r="81" spans="1:5" x14ac:dyDescent="0.3">
      <c r="A81" s="61" t="s">
        <v>32</v>
      </c>
      <c r="B81" s="62">
        <v>6</v>
      </c>
      <c r="C81" s="62">
        <v>532650</v>
      </c>
      <c r="D81" s="62">
        <v>2.6666666666666665</v>
      </c>
      <c r="E81" s="62">
        <v>6</v>
      </c>
    </row>
    <row r="82" spans="1:5" x14ac:dyDescent="0.3">
      <c r="A82" s="61" t="s">
        <v>103</v>
      </c>
      <c r="B82" s="62">
        <v>20</v>
      </c>
      <c r="C82" s="62">
        <v>5465950</v>
      </c>
      <c r="D82" s="62">
        <v>8.8000000000000007</v>
      </c>
      <c r="E82" s="62">
        <v>20</v>
      </c>
    </row>
    <row r="83" spans="1:5" x14ac:dyDescent="0.3">
      <c r="A83"/>
      <c r="B83"/>
      <c r="C83"/>
    </row>
    <row r="84" spans="1:5" x14ac:dyDescent="0.3">
      <c r="A84"/>
      <c r="B84"/>
      <c r="C84"/>
    </row>
    <row r="85" spans="1:5" x14ac:dyDescent="0.3">
      <c r="A85"/>
      <c r="B85"/>
      <c r="C85"/>
    </row>
    <row r="86" spans="1:5" x14ac:dyDescent="0.3">
      <c r="A86"/>
      <c r="B86"/>
      <c r="C86"/>
    </row>
    <row r="87" spans="1:5" x14ac:dyDescent="0.3">
      <c r="A87"/>
      <c r="B87"/>
      <c r="C87"/>
    </row>
    <row r="88" spans="1:5" x14ac:dyDescent="0.3">
      <c r="A88"/>
      <c r="B88"/>
      <c r="C88"/>
    </row>
    <row r="89" spans="1:5" x14ac:dyDescent="0.3">
      <c r="A89"/>
      <c r="B89"/>
      <c r="C89"/>
    </row>
    <row r="90" spans="1:5" x14ac:dyDescent="0.3">
      <c r="A90"/>
      <c r="B90"/>
      <c r="C90"/>
    </row>
    <row r="91" spans="1:5" x14ac:dyDescent="0.3">
      <c r="A91"/>
      <c r="B91"/>
      <c r="C91"/>
    </row>
    <row r="92" spans="1:5" x14ac:dyDescent="0.3">
      <c r="A92"/>
      <c r="B92"/>
      <c r="C92"/>
    </row>
    <row r="93" spans="1:5" x14ac:dyDescent="0.3">
      <c r="A93"/>
      <c r="B93"/>
      <c r="C93"/>
    </row>
    <row r="94" spans="1:5" x14ac:dyDescent="0.3">
      <c r="A94"/>
      <c r="B94"/>
      <c r="C94"/>
    </row>
    <row r="95" spans="1:5" x14ac:dyDescent="0.3">
      <c r="A95"/>
      <c r="B95"/>
      <c r="C95"/>
    </row>
  </sheetData>
  <mergeCells count="15">
    <mergeCell ref="A64:J64"/>
    <mergeCell ref="A72:J72"/>
    <mergeCell ref="A74:J74"/>
    <mergeCell ref="A76:J76"/>
    <mergeCell ref="A7:J7"/>
    <mergeCell ref="A8:J8"/>
    <mergeCell ref="A9:J9"/>
    <mergeCell ref="A58:J58"/>
    <mergeCell ref="A61:J61"/>
    <mergeCell ref="A1:J1"/>
    <mergeCell ref="A2:J2"/>
    <mergeCell ref="A3:J3"/>
    <mergeCell ref="A4:J4"/>
    <mergeCell ref="A5:J5"/>
    <mergeCell ref="A6:J6"/>
  </mergeCell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CASE STUDY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Sami Siddiqui</dc:creator>
  <cp:lastModifiedBy>Mohd Sami Siddiqui</cp:lastModifiedBy>
  <dcterms:created xsi:type="dcterms:W3CDTF">2026-06-25T15:11:59Z</dcterms:created>
  <dcterms:modified xsi:type="dcterms:W3CDTF">2026-06-25T17:33:37Z</dcterms:modified>
</cp:coreProperties>
</file>