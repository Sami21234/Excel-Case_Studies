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c66bf640a71f3/Desktop/Excel_Case_Studies/CASE STUDY 2 — HR ATTRITION ^0 PAYROLL ANALYSIS/"/>
    </mc:Choice>
  </mc:AlternateContent>
  <xr:revisionPtr revIDLastSave="161" documentId="8_{9CF703F0-C9B1-4B4E-B012-FE0A90F3B372}" xr6:coauthVersionLast="47" xr6:coauthVersionMax="47" xr10:uidLastSave="{E599669E-43A8-4D53-BCEB-8B7CA91B5696}"/>
  <bookViews>
    <workbookView xWindow="-108" yWindow="-108" windowWidth="23256" windowHeight="12456" xr2:uid="{031FDD15-1101-41F0-9E85-0A41FA35573C}"/>
  </bookViews>
  <sheets>
    <sheet name="case_stud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" l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N35" i="1" a="1"/>
  <c r="N35" i="1" s="1"/>
  <c r="N36" i="1" a="1"/>
  <c r="N36" i="1"/>
  <c r="N37" i="1" a="1"/>
  <c r="N37" i="1"/>
  <c r="N38" i="1" a="1"/>
  <c r="N38" i="1"/>
  <c r="N39" i="1" a="1"/>
  <c r="N39" i="1"/>
  <c r="N40" i="1" a="1"/>
  <c r="N40" i="1"/>
  <c r="N41" i="1" a="1"/>
  <c r="N41" i="1"/>
  <c r="N42" i="1" a="1"/>
  <c r="N42" i="1"/>
  <c r="N43" i="1" a="1"/>
  <c r="N43" i="1" s="1"/>
  <c r="N44" i="1" a="1"/>
  <c r="N44" i="1"/>
  <c r="N45" i="1" a="1"/>
  <c r="N45" i="1" s="1"/>
  <c r="N46" i="1" a="1"/>
  <c r="N46" i="1"/>
  <c r="N47" i="1" a="1"/>
  <c r="N47" i="1" s="1"/>
  <c r="N48" i="1" a="1"/>
  <c r="N48" i="1" s="1"/>
  <c r="N49" i="1" a="1"/>
  <c r="N49" i="1" s="1"/>
  <c r="N50" i="1" a="1"/>
  <c r="N50" i="1"/>
  <c r="N51" i="1" a="1"/>
  <c r="N51" i="1" s="1"/>
  <c r="N52" i="1" a="1"/>
  <c r="N52" i="1"/>
  <c r="N53" i="1" a="1"/>
  <c r="N53" i="1"/>
  <c r="N34" i="1" a="1"/>
  <c r="N34" i="1"/>
  <c r="C77" i="1"/>
  <c r="C78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C64" i="1"/>
  <c r="C65" i="1"/>
  <c r="C66" i="1"/>
  <c r="C67" i="1"/>
  <c r="C68" i="1"/>
  <c r="B64" i="1"/>
  <c r="B65" i="1"/>
  <c r="B66" i="1"/>
  <c r="B67" i="1"/>
  <c r="B68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D68" i="1" l="1"/>
  <c r="D67" i="1"/>
  <c r="D66" i="1"/>
  <c r="D65" i="1"/>
  <c r="D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<sst xmlns="http://schemas.openxmlformats.org/spreadsheetml/2006/main" count="383" uniqueCount="132">
  <si>
    <t>CASE STUDY 2 — HR ATTRITION &amp; PAYROLL ANALYSIS</t>
  </si>
  <si>
    <t>Interviewer Perspective | As used in HR Analyst &amp; Finance roles at Reliance, Wipro, TCS, Infosys | Difficulty: ★★★★☆</t>
  </si>
  <si>
    <t xml:space="preserve">  INTERVIEWER'S NOTE</t>
  </si>
  <si>
    <t xml:space="preserve">  This case study is the most emotionally charged one I give. HR data is messy, inconsistent, and real. At Reliance, I used a version of this to hire an entire analytics team. The key differentiator: can the candidate handle NESTED IFs gracefully, or do they write a 200-character monster formula that breaks on edge cases? I am looking for logic, not just syntax. The payroll question catches 70% of candidates off guard.</t>
  </si>
  <si>
    <t xml:space="preserve">  SCENARIO</t>
  </si>
  <si>
    <t xml:space="preserve">  You are the HR Analytics Lead at MegaCorp India. The CHRO needs a complete payroll and attrition report before the board meeting in 2 hours. The employee database below is your only source. You must build all calculations using formulas — no manual entries. The bonus slab and tax calculation logic is provided in the questions.</t>
  </si>
  <si>
    <t xml:space="preserve">  DATASET — Employee Master Table</t>
  </si>
  <si>
    <t>Emp ID</t>
  </si>
  <si>
    <t>Employee Name</t>
  </si>
  <si>
    <t>Department</t>
  </si>
  <si>
    <t>Designation</t>
  </si>
  <si>
    <t>Years Exp</t>
  </si>
  <si>
    <t>Basic Salary (₹)</t>
  </si>
  <si>
    <t>Joining Date</t>
  </si>
  <si>
    <t>Status</t>
  </si>
  <si>
    <t>Gender</t>
  </si>
  <si>
    <t>Age</t>
  </si>
  <si>
    <t>City</t>
  </si>
  <si>
    <t>EMP001</t>
  </si>
  <si>
    <t>Aarav Mehta</t>
  </si>
  <si>
    <t>Engineering</t>
  </si>
  <si>
    <t>Senior Engineer</t>
  </si>
  <si>
    <t>2017-03-15</t>
  </si>
  <si>
    <t>Active</t>
  </si>
  <si>
    <t>M</t>
  </si>
  <si>
    <t>Mumbai</t>
  </si>
  <si>
    <t>EMP002</t>
  </si>
  <si>
    <t>Bhavna Shah</t>
  </si>
  <si>
    <t>Marketing</t>
  </si>
  <si>
    <t>Manager</t>
  </si>
  <si>
    <t>2019-06-01</t>
  </si>
  <si>
    <t>F</t>
  </si>
  <si>
    <t>Delhi</t>
  </si>
  <si>
    <t>EMP003</t>
  </si>
  <si>
    <t>Chetan Rao</t>
  </si>
  <si>
    <t>Junior Engineer</t>
  </si>
  <si>
    <t>2022-01-10</t>
  </si>
  <si>
    <t>Pune</t>
  </si>
  <si>
    <t>EMP004</t>
  </si>
  <si>
    <t>Deepika Nair</t>
  </si>
  <si>
    <t>HR</t>
  </si>
  <si>
    <t>HR Executive</t>
  </si>
  <si>
    <t>2020-08-20</t>
  </si>
  <si>
    <t>Bangalore</t>
  </si>
  <si>
    <t>EMP005</t>
  </si>
  <si>
    <t>Eshan Gupta</t>
  </si>
  <si>
    <t>Finance</t>
  </si>
  <si>
    <t>Senior Analyst</t>
  </si>
  <si>
    <t>2016-04-05</t>
  </si>
  <si>
    <t>Resigned</t>
  </si>
  <si>
    <t>EMP006</t>
  </si>
  <si>
    <t>Fatima Khan</t>
  </si>
  <si>
    <t>Tech Lead</t>
  </si>
  <si>
    <t>2014-07-12</t>
  </si>
  <si>
    <t>Hyderabad</t>
  </si>
  <si>
    <t>EMP007</t>
  </si>
  <si>
    <t>Gaurav Tiwari</t>
  </si>
  <si>
    <t>Sales</t>
  </si>
  <si>
    <t>Sales Executive</t>
  </si>
  <si>
    <t>2021-05-18</t>
  </si>
  <si>
    <t>Jaipur</t>
  </si>
  <si>
    <t>EMP008</t>
  </si>
  <si>
    <t>Hema Reddy</t>
  </si>
  <si>
    <t>Senior Manager</t>
  </si>
  <si>
    <t>2015-09-30</t>
  </si>
  <si>
    <t>Chennai</t>
  </si>
  <si>
    <t>EMP009</t>
  </si>
  <si>
    <t>Ishan Joshi</t>
  </si>
  <si>
    <t>Analyst</t>
  </si>
  <si>
    <t>2023-03-01</t>
  </si>
  <si>
    <t>EMP010</t>
  </si>
  <si>
    <t>Jasmine Pillai</t>
  </si>
  <si>
    <t>HR Manager</t>
  </si>
  <si>
    <t>2018-11-14</t>
  </si>
  <si>
    <t>EMP011</t>
  </si>
  <si>
    <t>Karan Malhotra</t>
  </si>
  <si>
    <t>Architect</t>
  </si>
  <si>
    <t>2012-01-20</t>
  </si>
  <si>
    <t>EMP012</t>
  </si>
  <si>
    <t>Leena Saxena</t>
  </si>
  <si>
    <t>Sales Manager</t>
  </si>
  <si>
    <t>2017-06-08</t>
  </si>
  <si>
    <t>EMP013</t>
  </si>
  <si>
    <t>Manoj Desai</t>
  </si>
  <si>
    <t>CFO</t>
  </si>
  <si>
    <t>15</t>
  </si>
  <si>
    <t>2009-04-01</t>
  </si>
  <si>
    <t>EMP014</t>
  </si>
  <si>
    <t>Neha Kapoor</t>
  </si>
  <si>
    <t>Executive</t>
  </si>
  <si>
    <t>2022-07-15</t>
  </si>
  <si>
    <t>EMP015</t>
  </si>
  <si>
    <t>Omar Sheikh</t>
  </si>
  <si>
    <t>2018-02-28</t>
  </si>
  <si>
    <t>EMP016</t>
  </si>
  <si>
    <t>Prachi Verma</t>
  </si>
  <si>
    <t>CHRO</t>
  </si>
  <si>
    <t>2010-08-10</t>
  </si>
  <si>
    <t>EMP017</t>
  </si>
  <si>
    <t>Qasim Ali</t>
  </si>
  <si>
    <t>2023-09-01</t>
  </si>
  <si>
    <t>EMP018</t>
  </si>
  <si>
    <t>Rekha Iyer</t>
  </si>
  <si>
    <t>2021-04-12</t>
  </si>
  <si>
    <t>EMP019</t>
  </si>
  <si>
    <t>Sanjay Bhatt</t>
  </si>
  <si>
    <t>2016-03-22</t>
  </si>
  <si>
    <t>EMP020</t>
  </si>
  <si>
    <t>Tanya Singh</t>
  </si>
  <si>
    <t>Director</t>
  </si>
  <si>
    <t>2013-10-05</t>
  </si>
  <si>
    <t xml:space="preserve">  Q1.  Calculate the GROSS SALARY for each employee. Bonus slab: Experience &lt; 3 yrs = 8% of basic | 3–7 yrs = 12% | above 7 yrs = 18%. Use a nested IF formula.</t>
  </si>
  <si>
    <t xml:space="preserve">  Q2.  Calculate the ATTRITION RATE by department. Use COUNTIFS to count resigned employees per department vs total per department.</t>
  </si>
  <si>
    <t>Answers</t>
  </si>
  <si>
    <t>Gross Salary = Bonus + Basic Salary</t>
  </si>
  <si>
    <t>Column1</t>
  </si>
  <si>
    <t>Gross_Salary</t>
  </si>
  <si>
    <t>Summary Table</t>
  </si>
  <si>
    <t>Total</t>
  </si>
  <si>
    <t>Attrition Rate</t>
  </si>
  <si>
    <t>income_tax_slab_wise</t>
  </si>
  <si>
    <t xml:space="preserve">  Q3.  The company deducts TDS (Income Tax) as follows: Basic salary up to ₹50,000/month = 0% | ₹50,001-1,00,000 = 10% | Above ₹1,00,000 = 20%. Write the formula to calculate monthly TDS.</t>
  </si>
  <si>
    <t>Applying marginal tax slabs, taxing only the income falling in each slab rather than applying a flat rate on the entire salary</t>
  </si>
  <si>
    <t xml:space="preserve">  Q4.  Find the AVERAGE salary by Gender and by Department separately. Which function handles multi-condition averaging?</t>
  </si>
  <si>
    <t>Using AVERAGEIFS</t>
  </si>
  <si>
    <t>Avg Salary</t>
  </si>
  <si>
    <t>Male</t>
  </si>
  <si>
    <t>Female</t>
  </si>
  <si>
    <t xml:space="preserve">  Q5.  Identify employees who have been with the company for MORE than 5 years but are still on basic salary below ₹80,000 — these are potential attrition risks. Flag them.</t>
  </si>
  <si>
    <t>Higher_Attrition_Risk</t>
  </si>
  <si>
    <t xml:space="preserve">  Q6.  Create a formula to calculate the EMPLOYEE TENURE in complete years from their Joining Date to today. Handle the edge case where Joining Date column might be text instead of a real date.</t>
  </si>
  <si>
    <t>using 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</si>
</sst>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5A623"/>
      <name val="Calibri"/>
      <family val="2"/>
    </font>
    <font>
      <i/>
      <sz val="9"/>
      <color rgb="FFCCDDEE"/>
      <name val="Calibri"/>
      <family val="2"/>
    </font>
    <font>
      <b/>
      <sz val="10"/>
      <color rgb="FFF5A623"/>
      <name val="Calibri"/>
      <family val="2"/>
    </font>
    <font>
      <i/>
      <sz val="9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1A1A2E"/>
      <name val="Calibri"/>
      <family val="2"/>
    </font>
    <font>
      <b/>
      <sz val="9"/>
      <color rgb="FFFFFFFF"/>
      <name val="Calibri"/>
      <family val="2"/>
    </font>
    <font>
      <sz val="9"/>
      <color rgb="FF1A1A2E"/>
      <name val="Calibri"/>
      <family val="2"/>
    </font>
    <font>
      <b/>
      <sz val="10"/>
      <color rgb="FF1A1A2E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546E7A"/>
      </patternFill>
    </fill>
    <fill>
      <patternFill patternType="solid">
        <fgColor rgb="FF16213E"/>
      </patternFill>
    </fill>
    <fill>
      <patternFill patternType="solid">
        <fgColor rgb="FFF8F9FA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F3460"/>
        <bgColor indexed="64"/>
      </patternFill>
    </fill>
  </fills>
  <borders count="24">
    <border>
      <left/>
      <right/>
      <top/>
      <bottom/>
      <diagonal/>
    </border>
    <border>
      <left style="thick">
        <color rgb="FF1A1A2E"/>
      </left>
      <right style="thin">
        <color rgb="FFB0BEC5"/>
      </right>
      <top style="thick">
        <color rgb="FF1A1A2E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ck">
        <color rgb="FF1A1A2E"/>
      </top>
      <bottom style="thin">
        <color rgb="FFB0BEC5"/>
      </bottom>
      <diagonal/>
    </border>
    <border>
      <left style="thin">
        <color rgb="FFB0BEC5"/>
      </left>
      <right style="thick">
        <color rgb="FF1A1A2E"/>
      </right>
      <top style="thick">
        <color rgb="FF1A1A2E"/>
      </top>
      <bottom style="thin">
        <color rgb="FFB0BEC5"/>
      </bottom>
      <diagonal/>
    </border>
    <border>
      <left style="thick">
        <color rgb="FF1A1A2E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ck">
        <color rgb="FF1A1A2E"/>
      </right>
      <top style="thin">
        <color rgb="FFB0BEC5"/>
      </top>
      <bottom style="thin">
        <color rgb="FFB0BEC5"/>
      </bottom>
      <diagonal/>
    </border>
    <border>
      <left style="thick">
        <color rgb="FF1A1A2E"/>
      </left>
      <right style="thin">
        <color rgb="FFB0BEC5"/>
      </right>
      <top style="thin">
        <color rgb="FFB0BEC5"/>
      </top>
      <bottom style="thick">
        <color rgb="FF1A1A2E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ck">
        <color rgb="FF1A1A2E"/>
      </bottom>
      <diagonal/>
    </border>
    <border>
      <left style="thin">
        <color rgb="FFB0BEC5"/>
      </left>
      <right style="thick">
        <color rgb="FF1A1A2E"/>
      </right>
      <top style="thin">
        <color rgb="FFB0BEC5"/>
      </top>
      <bottom style="thick">
        <color rgb="FF1A1A2E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/>
      <top/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/>
      <top style="thin">
        <color rgb="FFB0BEC5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10" fillId="6" borderId="6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right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left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right" vertical="center"/>
    </xf>
    <xf numFmtId="0" fontId="10" fillId="8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left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right" vertical="center"/>
    </xf>
    <xf numFmtId="0" fontId="10" fillId="8" borderId="17" xfId="0" applyFont="1" applyFill="1" applyBorder="1" applyAlignment="1">
      <alignment horizontal="center" vertical="center"/>
    </xf>
    <xf numFmtId="0" fontId="2" fillId="0" borderId="0" xfId="0" applyFont="1"/>
    <xf numFmtId="0" fontId="0" fillId="0" borderId="18" xfId="0" applyBorder="1"/>
    <xf numFmtId="0" fontId="9" fillId="12" borderId="13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1" fillId="10" borderId="21" xfId="0" applyFont="1" applyFill="1" applyBorder="1"/>
    <xf numFmtId="0" fontId="1" fillId="10" borderId="22" xfId="0" applyFont="1" applyFill="1" applyBorder="1"/>
    <xf numFmtId="0" fontId="1" fillId="10" borderId="23" xfId="0" applyFont="1" applyFill="1" applyBorder="1"/>
    <xf numFmtId="0" fontId="0" fillId="11" borderId="21" xfId="0" applyFill="1" applyBorder="1"/>
    <xf numFmtId="0" fontId="0" fillId="11" borderId="22" xfId="0" applyFill="1" applyBorder="1"/>
    <xf numFmtId="0" fontId="0" fillId="11" borderId="23" xfId="0" applyFill="1" applyBorder="1"/>
    <xf numFmtId="164" fontId="0" fillId="0" borderId="0" xfId="0" applyNumberFormat="1"/>
    <xf numFmtId="0" fontId="11" fillId="9" borderId="0" xfId="0" applyFont="1" applyFill="1" applyAlignment="1">
      <alignment horizontal="left" vertical="center" wrapText="1"/>
    </xf>
    <xf numFmtId="0" fontId="0" fillId="0" borderId="0" xfId="0"/>
    <xf numFmtId="0" fontId="11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 indent="2"/>
    </xf>
    <xf numFmtId="0" fontId="7" fillId="7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/>
    <xf numFmtId="0" fontId="3" fillId="2" borderId="0" xfId="0" applyFont="1" applyFill="1" applyAlignment="1">
      <alignment horizontal="left" vertical="center" indent="2"/>
    </xf>
    <xf numFmtId="0" fontId="4" fillId="3" borderId="0" xfId="0" applyFont="1" applyFill="1" applyAlignment="1">
      <alignment horizontal="left" vertical="center" indent="2"/>
    </xf>
    <xf numFmtId="0" fontId="5" fillId="2" borderId="0" xfId="0" applyFont="1" applyFill="1" applyAlignment="1">
      <alignment horizontal="left" vertical="center" indent="2"/>
    </xf>
    <xf numFmtId="0" fontId="6" fillId="4" borderId="0" xfId="0" applyFont="1" applyFill="1" applyAlignment="1">
      <alignment horizontal="left" vertical="center" wrapText="1" indent="2"/>
    </xf>
    <xf numFmtId="0" fontId="7" fillId="5" borderId="0" xfId="0" applyFont="1" applyFill="1" applyAlignment="1">
      <alignment horizontal="left" vertical="center" indent="2"/>
    </xf>
  </cellXfs>
  <cellStyles count="1">
    <cellStyle name="Normal" xfId="0" builtinId="0"/>
  </cellStyles>
  <dxfs count="24"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/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border outline="0">
        <top style="thin">
          <color rgb="FFB0BEC5"/>
        </top>
      </border>
    </dxf>
    <dxf>
      <border outline="0">
        <left style="thick">
          <color rgb="FF1A1A2E"/>
        </left>
        <right style="thick">
          <color rgb="FF1A1A2E"/>
        </right>
        <top style="thin">
          <color rgb="FFB0BEC5"/>
        </top>
        <bottom style="thick">
          <color rgb="FF1A1A2E"/>
        </bottom>
      </border>
    </dxf>
    <dxf>
      <border outline="0">
        <bottom style="thin">
          <color rgb="FFB0BE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indexed="64"/>
          <bgColor rgb="FF0F34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EC5"/>
        </left>
        <right style="thin">
          <color rgb="FFB0BE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0F0CDA-86DD-4A0A-B19A-80A248A4FFF9}" name="Table2" displayName="Table2" ref="A33:O53" totalsRowShown="0" headerRowDxfId="23" headerRowBorderDxfId="22" tableBorderDxfId="21" totalsRowBorderDxfId="20">
  <autoFilter ref="A33:O53" xr:uid="{0D0F0CDA-86DD-4A0A-B19A-80A248A4FFF9}"/>
  <tableColumns count="15">
    <tableColumn id="1" xr3:uid="{ABF49483-FFF5-4187-88D4-18DF5B5187CB}" name="Emp ID" dataDxfId="19"/>
    <tableColumn id="2" xr3:uid="{F8388978-D091-4F0C-B153-2638B8A17024}" name="Employee Name" dataDxfId="18"/>
    <tableColumn id="3" xr3:uid="{112D3D8C-EB87-4C41-86D6-774E1F21BF03}" name="Department" dataDxfId="17"/>
    <tableColumn id="4" xr3:uid="{DA7E8F62-B007-476E-9957-A66F0F021F3E}" name="Designation" dataDxfId="16"/>
    <tableColumn id="5" xr3:uid="{7D18F9BE-1B24-4E56-9DF9-67697E1DCEFB}" name="Years Exp" dataDxfId="15"/>
    <tableColumn id="6" xr3:uid="{9DD70E72-F5D9-44E3-8193-2A7CF79C6E4E}" name="Basic Salary (₹)" dataDxfId="14"/>
    <tableColumn id="7" xr3:uid="{EB1BCA85-64DF-48BF-90A6-A12BBA85709C}" name="Joining Date" dataDxfId="13"/>
    <tableColumn id="8" xr3:uid="{4E9C7EFD-DE0B-4A17-9947-83BB5CD92FD0}" name="Status" dataDxfId="12"/>
    <tableColumn id="9" xr3:uid="{F54D4BAD-9D15-4464-B340-D2D0555773AD}" name="Gender" dataDxfId="11"/>
    <tableColumn id="10" xr3:uid="{9FBE0172-D098-43C3-A693-620FC917212C}" name="Age" dataDxfId="10"/>
    <tableColumn id="11" xr3:uid="{B0D6CF46-76CD-4DA5-B234-AFEFCB187188}" name="City" dataDxfId="9"/>
    <tableColumn id="12" xr3:uid="{6416CDFB-2D6E-46B6-B0E4-0A4ADF6F9E11}" name="Gross_Salary" dataDxfId="8">
      <calculatedColumnFormula>Table2[[#This Row],[Basic Salary (₹)]]*(1+IF(Table2[[#This Row],[Years Exp]] &lt; 3, 0.08, IF(Table2[[#This Row],[Years Exp]] &lt;= 7, 0.12, 0.18)))</calculatedColumnFormula>
    </tableColumn>
    <tableColumn id="13" xr3:uid="{8F41868F-FEF2-4DBC-9E09-EB4CFD1A4040}" name="income_tax_slab_wise" dataDxfId="7">
      <calculatedColumnFormula>IF(Table2[[#This Row],[Basic Salary (₹)]] &lt;= 50000, 0, IF(Table2[[#This Row],[Basic Salary (₹)]] &lt;= 100000, (Table2[[#This Row],[Basic Salary (₹)]] - 50000)*10%,(50000*10%)+((Table2[[#This Row],[Basic Salary (₹)]]-100000)*20%)))</calculatedColumnFormula>
    </tableColumn>
    <tableColumn id="14" xr3:uid="{021CCD11-959F-43EF-8F82-081A4EE2391E}" name="Higher_Attrition_Risk" dataDxfId="6">
      <calculatedColumnFormula array="1">IF(AND(Table2[Years Exp] &gt; 5, Table2[Basic Salary (₹)]&lt;80000), "ATTRITION RISK", "OK")</calculatedColumnFormula>
    </tableColumn>
    <tableColumn id="15" xr3:uid="{EF2FD602-F682-4F41-A3C8-AB245C9FC375}" name="Column1" dataDxfId="5">
      <calculatedColumnFormula>IFERROR(DATEDIF(Table2[[#This Row],[Joining Date]], TODAY(), "Y"),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BF13CA-F088-4839-98F9-0E1477B9EFAC}" name="Table3" displayName="Table3" ref="A63:D68" totalsRowShown="0" headerRowDxfId="4">
  <autoFilter ref="A63:D68" xr:uid="{A7BF13CA-F088-4839-98F9-0E1477B9EFAC}"/>
  <tableColumns count="4">
    <tableColumn id="1" xr3:uid="{961404D9-CD8C-42F5-A6AC-10F73F09E520}" name="Department" dataDxfId="3">
      <calculatedColumnFormula array="1">_xlfn.UNIQUE(Table2[Department])</calculatedColumnFormula>
    </tableColumn>
    <tableColumn id="2" xr3:uid="{5DC1DED8-8E56-4F86-802C-E8812C110E16}" name="Resigned" dataDxfId="2">
      <calculatedColumnFormula>COUNTIFS(Table2[Department], Table3[[#This Row],[Department]], Table2[Status], "Resigned")</calculatedColumnFormula>
    </tableColumn>
    <tableColumn id="3" xr3:uid="{9851E978-FD5B-4C72-91AF-B3DA976D8708}" name="Total" dataDxfId="1">
      <calculatedColumnFormula>COUNTIF(Table2[Department], Table3[[#This Row],[Department]])</calculatedColumnFormula>
    </tableColumn>
    <tableColumn id="4" xr3:uid="{1AAE815B-5969-4315-9DDB-4842AA1C6983}" name="Attrition Rate" dataDxfId="0">
      <calculatedColumnFormula>Table3[[#This Row],[Resigned]]/Table3[[#This Row],[Total]]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A7CF-7265-4916-B4D2-E516867D30E4}">
  <dimension ref="A1:O83"/>
  <sheetViews>
    <sheetView tabSelected="1" zoomScale="107" zoomScaleNormal="130" workbookViewId="0">
      <selection sqref="A1:K1"/>
    </sheetView>
  </sheetViews>
  <sheetFormatPr defaultRowHeight="14.4" x14ac:dyDescent="0.3"/>
  <cols>
    <col min="1" max="1" width="14.44140625" bestFit="1" customWidth="1"/>
    <col min="2" max="2" width="36.77734375" customWidth="1"/>
    <col min="3" max="3" width="13.5546875" bestFit="1" customWidth="1"/>
    <col min="4" max="4" width="14.6640625" customWidth="1"/>
    <col min="5" max="5" width="11.77734375" bestFit="1" customWidth="1"/>
    <col min="6" max="6" width="15.44140625" bestFit="1" customWidth="1"/>
    <col min="7" max="7" width="13.6640625" bestFit="1" customWidth="1"/>
    <col min="8" max="8" width="9.44140625" bestFit="1" customWidth="1"/>
    <col min="9" max="9" width="10.44140625" bestFit="1" customWidth="1"/>
    <col min="10" max="10" width="7.88671875" bestFit="1" customWidth="1"/>
    <col min="11" max="11" width="8.21875" bestFit="1" customWidth="1"/>
    <col min="12" max="12" width="14" bestFit="1" customWidth="1"/>
    <col min="13" max="13" width="20.88671875" bestFit="1" customWidth="1"/>
    <col min="14" max="14" width="20.33203125" bestFit="1" customWidth="1"/>
  </cols>
  <sheetData>
    <row r="1" spans="1:11" ht="21" x14ac:dyDescent="0.3">
      <c r="A1" s="50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x14ac:dyDescent="0.3">
      <c r="A2" s="51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x14ac:dyDescent="0.3">
      <c r="A3" s="52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42" customHeight="1" x14ac:dyDescent="0.3">
      <c r="A4" s="53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x14ac:dyDescent="0.3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</row>
    <row r="6" spans="1:11" x14ac:dyDescent="0.3">
      <c r="A6" s="54" t="s">
        <v>4</v>
      </c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1" x14ac:dyDescent="0.3">
      <c r="A7" s="46" t="s">
        <v>5</v>
      </c>
      <c r="B7" s="44"/>
      <c r="C7" s="44"/>
      <c r="D7" s="44"/>
      <c r="E7" s="44"/>
      <c r="F7" s="44"/>
      <c r="G7" s="44"/>
      <c r="H7" s="44"/>
      <c r="I7" s="44"/>
      <c r="J7" s="44"/>
      <c r="K7" s="44"/>
    </row>
    <row r="8" spans="1:11" ht="15" thickBot="1" x14ac:dyDescent="0.3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</row>
    <row r="9" spans="1:11" ht="15" thickTop="1" x14ac:dyDescent="0.3">
      <c r="A9" s="47" t="s">
        <v>6</v>
      </c>
      <c r="B9" s="48"/>
      <c r="C9" s="48"/>
      <c r="D9" s="48"/>
      <c r="E9" s="48"/>
      <c r="F9" s="48"/>
      <c r="G9" s="48"/>
      <c r="H9" s="48"/>
      <c r="I9" s="48"/>
      <c r="J9" s="48"/>
      <c r="K9" s="49"/>
    </row>
    <row r="10" spans="1:11" x14ac:dyDescent="0.3">
      <c r="A10" s="1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3" t="s">
        <v>17</v>
      </c>
    </row>
    <row r="11" spans="1:11" x14ac:dyDescent="0.3">
      <c r="A11" s="4" t="s">
        <v>18</v>
      </c>
      <c r="B11" s="5" t="s">
        <v>19</v>
      </c>
      <c r="C11" s="6" t="s">
        <v>20</v>
      </c>
      <c r="D11" s="6" t="s">
        <v>21</v>
      </c>
      <c r="E11" s="7">
        <v>7</v>
      </c>
      <c r="F11" s="7">
        <v>95000</v>
      </c>
      <c r="G11" s="5" t="s">
        <v>22</v>
      </c>
      <c r="H11" s="6" t="s">
        <v>23</v>
      </c>
      <c r="I11" s="6" t="s">
        <v>24</v>
      </c>
      <c r="J11" s="7">
        <v>32</v>
      </c>
      <c r="K11" s="8" t="s">
        <v>25</v>
      </c>
    </row>
    <row r="12" spans="1:11" x14ac:dyDescent="0.3">
      <c r="A12" s="9" t="s">
        <v>26</v>
      </c>
      <c r="B12" s="10" t="s">
        <v>27</v>
      </c>
      <c r="C12" s="11" t="s">
        <v>28</v>
      </c>
      <c r="D12" s="11" t="s">
        <v>29</v>
      </c>
      <c r="E12" s="12">
        <v>5</v>
      </c>
      <c r="F12" s="12">
        <v>78000</v>
      </c>
      <c r="G12" s="10" t="s">
        <v>30</v>
      </c>
      <c r="H12" s="11" t="s">
        <v>23</v>
      </c>
      <c r="I12" s="11" t="s">
        <v>31</v>
      </c>
      <c r="J12" s="12">
        <v>29</v>
      </c>
      <c r="K12" s="13" t="s">
        <v>32</v>
      </c>
    </row>
    <row r="13" spans="1:11" x14ac:dyDescent="0.3">
      <c r="A13" s="4" t="s">
        <v>33</v>
      </c>
      <c r="B13" s="5" t="s">
        <v>34</v>
      </c>
      <c r="C13" s="6" t="s">
        <v>20</v>
      </c>
      <c r="D13" s="6" t="s">
        <v>35</v>
      </c>
      <c r="E13" s="7">
        <v>2</v>
      </c>
      <c r="F13" s="7">
        <v>48000</v>
      </c>
      <c r="G13" s="5" t="s">
        <v>36</v>
      </c>
      <c r="H13" s="6" t="s">
        <v>23</v>
      </c>
      <c r="I13" s="6" t="s">
        <v>24</v>
      </c>
      <c r="J13" s="7">
        <v>25</v>
      </c>
      <c r="K13" s="8" t="s">
        <v>37</v>
      </c>
    </row>
    <row r="14" spans="1:11" x14ac:dyDescent="0.3">
      <c r="A14" s="9" t="s">
        <v>38</v>
      </c>
      <c r="B14" s="10" t="s">
        <v>39</v>
      </c>
      <c r="C14" s="11" t="s">
        <v>40</v>
      </c>
      <c r="D14" s="11" t="s">
        <v>41</v>
      </c>
      <c r="E14" s="12">
        <v>4</v>
      </c>
      <c r="F14" s="12">
        <v>55000</v>
      </c>
      <c r="G14" s="10" t="s">
        <v>42</v>
      </c>
      <c r="H14" s="11" t="s">
        <v>23</v>
      </c>
      <c r="I14" s="11" t="s">
        <v>31</v>
      </c>
      <c r="J14" s="12">
        <v>28</v>
      </c>
      <c r="K14" s="13" t="s">
        <v>43</v>
      </c>
    </row>
    <row r="15" spans="1:11" x14ac:dyDescent="0.3">
      <c r="A15" s="4" t="s">
        <v>44</v>
      </c>
      <c r="B15" s="5" t="s">
        <v>45</v>
      </c>
      <c r="C15" s="6" t="s">
        <v>46</v>
      </c>
      <c r="D15" s="6" t="s">
        <v>47</v>
      </c>
      <c r="E15" s="7">
        <v>8</v>
      </c>
      <c r="F15" s="7">
        <v>110000</v>
      </c>
      <c r="G15" s="5" t="s">
        <v>48</v>
      </c>
      <c r="H15" s="6" t="s">
        <v>49</v>
      </c>
      <c r="I15" s="6" t="s">
        <v>24</v>
      </c>
      <c r="J15" s="7">
        <v>34</v>
      </c>
      <c r="K15" s="8" t="s">
        <v>25</v>
      </c>
    </row>
    <row r="16" spans="1:11" x14ac:dyDescent="0.3">
      <c r="A16" s="9" t="s">
        <v>50</v>
      </c>
      <c r="B16" s="10" t="s">
        <v>51</v>
      </c>
      <c r="C16" s="11" t="s">
        <v>20</v>
      </c>
      <c r="D16" s="11" t="s">
        <v>52</v>
      </c>
      <c r="E16" s="12">
        <v>10</v>
      </c>
      <c r="F16" s="12">
        <v>130000</v>
      </c>
      <c r="G16" s="10" t="s">
        <v>53</v>
      </c>
      <c r="H16" s="11" t="s">
        <v>23</v>
      </c>
      <c r="I16" s="11" t="s">
        <v>31</v>
      </c>
      <c r="J16" s="12">
        <v>38</v>
      </c>
      <c r="K16" s="13" t="s">
        <v>54</v>
      </c>
    </row>
    <row r="17" spans="1:11" x14ac:dyDescent="0.3">
      <c r="A17" s="4" t="s">
        <v>55</v>
      </c>
      <c r="B17" s="5" t="s">
        <v>56</v>
      </c>
      <c r="C17" s="6" t="s">
        <v>57</v>
      </c>
      <c r="D17" s="6" t="s">
        <v>58</v>
      </c>
      <c r="E17" s="7">
        <v>3</v>
      </c>
      <c r="F17" s="7">
        <v>52000</v>
      </c>
      <c r="G17" s="5" t="s">
        <v>59</v>
      </c>
      <c r="H17" s="6" t="s">
        <v>23</v>
      </c>
      <c r="I17" s="6" t="s">
        <v>24</v>
      </c>
      <c r="J17" s="7">
        <v>27</v>
      </c>
      <c r="K17" s="8" t="s">
        <v>60</v>
      </c>
    </row>
    <row r="18" spans="1:11" x14ac:dyDescent="0.3">
      <c r="A18" s="9" t="s">
        <v>61</v>
      </c>
      <c r="B18" s="10" t="s">
        <v>62</v>
      </c>
      <c r="C18" s="11" t="s">
        <v>28</v>
      </c>
      <c r="D18" s="11" t="s">
        <v>63</v>
      </c>
      <c r="E18" s="12">
        <v>9</v>
      </c>
      <c r="F18" s="12">
        <v>105000</v>
      </c>
      <c r="G18" s="10" t="s">
        <v>64</v>
      </c>
      <c r="H18" s="11" t="s">
        <v>23</v>
      </c>
      <c r="I18" s="11" t="s">
        <v>31</v>
      </c>
      <c r="J18" s="12">
        <v>36</v>
      </c>
      <c r="K18" s="13" t="s">
        <v>65</v>
      </c>
    </row>
    <row r="19" spans="1:11" x14ac:dyDescent="0.3">
      <c r="A19" s="4" t="s">
        <v>66</v>
      </c>
      <c r="B19" s="5" t="s">
        <v>67</v>
      </c>
      <c r="C19" s="6" t="s">
        <v>46</v>
      </c>
      <c r="D19" s="6" t="s">
        <v>68</v>
      </c>
      <c r="E19" s="7">
        <v>1</v>
      </c>
      <c r="F19" s="7">
        <v>42000</v>
      </c>
      <c r="G19" s="5" t="s">
        <v>69</v>
      </c>
      <c r="H19" s="6" t="s">
        <v>49</v>
      </c>
      <c r="I19" s="6" t="s">
        <v>24</v>
      </c>
      <c r="J19" s="7">
        <v>24</v>
      </c>
      <c r="K19" s="8" t="s">
        <v>32</v>
      </c>
    </row>
    <row r="20" spans="1:11" x14ac:dyDescent="0.3">
      <c r="A20" s="9" t="s">
        <v>70</v>
      </c>
      <c r="B20" s="10" t="s">
        <v>71</v>
      </c>
      <c r="C20" s="11" t="s">
        <v>40</v>
      </c>
      <c r="D20" s="11" t="s">
        <v>72</v>
      </c>
      <c r="E20" s="12">
        <v>6</v>
      </c>
      <c r="F20" s="12">
        <v>88000</v>
      </c>
      <c r="G20" s="10" t="s">
        <v>73</v>
      </c>
      <c r="H20" s="11" t="s">
        <v>23</v>
      </c>
      <c r="I20" s="11" t="s">
        <v>31</v>
      </c>
      <c r="J20" s="12">
        <v>31</v>
      </c>
      <c r="K20" s="13" t="s">
        <v>43</v>
      </c>
    </row>
    <row r="21" spans="1:11" x14ac:dyDescent="0.3">
      <c r="A21" s="4" t="s">
        <v>74</v>
      </c>
      <c r="B21" s="5" t="s">
        <v>75</v>
      </c>
      <c r="C21" s="6" t="s">
        <v>20</v>
      </c>
      <c r="D21" s="6" t="s">
        <v>76</v>
      </c>
      <c r="E21" s="7">
        <v>12</v>
      </c>
      <c r="F21" s="7">
        <v>160000</v>
      </c>
      <c r="G21" s="5" t="s">
        <v>77</v>
      </c>
      <c r="H21" s="6" t="s">
        <v>23</v>
      </c>
      <c r="I21" s="6" t="s">
        <v>24</v>
      </c>
      <c r="J21" s="7">
        <v>40</v>
      </c>
      <c r="K21" s="8" t="s">
        <v>25</v>
      </c>
    </row>
    <row r="22" spans="1:11" x14ac:dyDescent="0.3">
      <c r="A22" s="9" t="s">
        <v>78</v>
      </c>
      <c r="B22" s="10" t="s">
        <v>79</v>
      </c>
      <c r="C22" s="11" t="s">
        <v>57</v>
      </c>
      <c r="D22" s="11" t="s">
        <v>80</v>
      </c>
      <c r="E22" s="12">
        <v>7</v>
      </c>
      <c r="F22" s="12">
        <v>92000</v>
      </c>
      <c r="G22" s="10" t="s">
        <v>81</v>
      </c>
      <c r="H22" s="11" t="s">
        <v>49</v>
      </c>
      <c r="I22" s="11" t="s">
        <v>31</v>
      </c>
      <c r="J22" s="12">
        <v>33</v>
      </c>
      <c r="K22" s="13" t="s">
        <v>37</v>
      </c>
    </row>
    <row r="23" spans="1:11" x14ac:dyDescent="0.3">
      <c r="A23" s="4" t="s">
        <v>82</v>
      </c>
      <c r="B23" s="5" t="s">
        <v>83</v>
      </c>
      <c r="C23" s="6" t="s">
        <v>46</v>
      </c>
      <c r="D23" s="6" t="s">
        <v>84</v>
      </c>
      <c r="E23" s="7" t="s">
        <v>85</v>
      </c>
      <c r="F23" s="7">
        <v>200000</v>
      </c>
      <c r="G23" s="5" t="s">
        <v>86</v>
      </c>
      <c r="H23" s="6" t="s">
        <v>23</v>
      </c>
      <c r="I23" s="6" t="s">
        <v>24</v>
      </c>
      <c r="J23" s="7">
        <v>46</v>
      </c>
      <c r="K23" s="8" t="s">
        <v>25</v>
      </c>
    </row>
    <row r="24" spans="1:11" x14ac:dyDescent="0.3">
      <c r="A24" s="9" t="s">
        <v>87</v>
      </c>
      <c r="B24" s="10" t="s">
        <v>88</v>
      </c>
      <c r="C24" s="11" t="s">
        <v>28</v>
      </c>
      <c r="D24" s="11" t="s">
        <v>89</v>
      </c>
      <c r="E24" s="12">
        <v>2</v>
      </c>
      <c r="F24" s="12">
        <v>45000</v>
      </c>
      <c r="G24" s="10" t="s">
        <v>90</v>
      </c>
      <c r="H24" s="11" t="s">
        <v>23</v>
      </c>
      <c r="I24" s="11" t="s">
        <v>31</v>
      </c>
      <c r="J24" s="12">
        <v>26</v>
      </c>
      <c r="K24" s="13" t="s">
        <v>32</v>
      </c>
    </row>
    <row r="25" spans="1:11" x14ac:dyDescent="0.3">
      <c r="A25" s="4" t="s">
        <v>91</v>
      </c>
      <c r="B25" s="5" t="s">
        <v>92</v>
      </c>
      <c r="C25" s="6" t="s">
        <v>20</v>
      </c>
      <c r="D25" s="6" t="s">
        <v>21</v>
      </c>
      <c r="E25" s="7">
        <v>6</v>
      </c>
      <c r="F25" s="7">
        <v>98000</v>
      </c>
      <c r="G25" s="5" t="s">
        <v>93</v>
      </c>
      <c r="H25" s="6" t="s">
        <v>23</v>
      </c>
      <c r="I25" s="6" t="s">
        <v>24</v>
      </c>
      <c r="J25" s="7">
        <v>31</v>
      </c>
      <c r="K25" s="8" t="s">
        <v>54</v>
      </c>
    </row>
    <row r="26" spans="1:11" x14ac:dyDescent="0.3">
      <c r="A26" s="9" t="s">
        <v>94</v>
      </c>
      <c r="B26" s="10" t="s">
        <v>95</v>
      </c>
      <c r="C26" s="11" t="s">
        <v>40</v>
      </c>
      <c r="D26" s="11" t="s">
        <v>96</v>
      </c>
      <c r="E26" s="12">
        <v>14</v>
      </c>
      <c r="F26" s="12">
        <v>185000</v>
      </c>
      <c r="G26" s="10" t="s">
        <v>97</v>
      </c>
      <c r="H26" s="11" t="s">
        <v>23</v>
      </c>
      <c r="I26" s="11" t="s">
        <v>31</v>
      </c>
      <c r="J26" s="12">
        <v>44</v>
      </c>
      <c r="K26" s="13" t="s">
        <v>25</v>
      </c>
    </row>
    <row r="27" spans="1:11" x14ac:dyDescent="0.3">
      <c r="A27" s="4" t="s">
        <v>98</v>
      </c>
      <c r="B27" s="5" t="s">
        <v>99</v>
      </c>
      <c r="C27" s="6" t="s">
        <v>57</v>
      </c>
      <c r="D27" s="6" t="s">
        <v>58</v>
      </c>
      <c r="E27" s="7">
        <v>1</v>
      </c>
      <c r="F27" s="7">
        <v>40000</v>
      </c>
      <c r="G27" s="5" t="s">
        <v>100</v>
      </c>
      <c r="H27" s="6" t="s">
        <v>23</v>
      </c>
      <c r="I27" s="6" t="s">
        <v>24</v>
      </c>
      <c r="J27" s="7">
        <v>23</v>
      </c>
      <c r="K27" s="8" t="s">
        <v>60</v>
      </c>
    </row>
    <row r="28" spans="1:11" x14ac:dyDescent="0.3">
      <c r="A28" s="9" t="s">
        <v>101</v>
      </c>
      <c r="B28" s="10" t="s">
        <v>102</v>
      </c>
      <c r="C28" s="11" t="s">
        <v>46</v>
      </c>
      <c r="D28" s="11" t="s">
        <v>68</v>
      </c>
      <c r="E28" s="12">
        <v>3</v>
      </c>
      <c r="F28" s="12">
        <v>58000</v>
      </c>
      <c r="G28" s="10" t="s">
        <v>103</v>
      </c>
      <c r="H28" s="11" t="s">
        <v>49</v>
      </c>
      <c r="I28" s="11" t="s">
        <v>31</v>
      </c>
      <c r="J28" s="12">
        <v>28</v>
      </c>
      <c r="K28" s="13" t="s">
        <v>65</v>
      </c>
    </row>
    <row r="29" spans="1:11" x14ac:dyDescent="0.3">
      <c r="A29" s="4" t="s">
        <v>104</v>
      </c>
      <c r="B29" s="5" t="s">
        <v>105</v>
      </c>
      <c r="C29" s="6" t="s">
        <v>20</v>
      </c>
      <c r="D29" s="6" t="s">
        <v>29</v>
      </c>
      <c r="E29" s="7">
        <v>8</v>
      </c>
      <c r="F29" s="7">
        <v>115000</v>
      </c>
      <c r="G29" s="5" t="s">
        <v>106</v>
      </c>
      <c r="H29" s="6" t="s">
        <v>23</v>
      </c>
      <c r="I29" s="6" t="s">
        <v>24</v>
      </c>
      <c r="J29" s="7">
        <v>35</v>
      </c>
      <c r="K29" s="8" t="s">
        <v>43</v>
      </c>
    </row>
    <row r="30" spans="1:11" ht="15" thickBot="1" x14ac:dyDescent="0.35">
      <c r="A30" s="14" t="s">
        <v>107</v>
      </c>
      <c r="B30" s="15" t="s">
        <v>108</v>
      </c>
      <c r="C30" s="16" t="s">
        <v>28</v>
      </c>
      <c r="D30" s="16" t="s">
        <v>109</v>
      </c>
      <c r="E30" s="17">
        <v>11</v>
      </c>
      <c r="F30" s="17">
        <v>155000</v>
      </c>
      <c r="G30" s="15" t="s">
        <v>110</v>
      </c>
      <c r="H30" s="16" t="s">
        <v>23</v>
      </c>
      <c r="I30" s="16" t="s">
        <v>31</v>
      </c>
      <c r="J30" s="17">
        <v>42</v>
      </c>
      <c r="K30" s="18" t="s">
        <v>25</v>
      </c>
    </row>
    <row r="31" spans="1:11" ht="15" thickTop="1" x14ac:dyDescent="0.3"/>
    <row r="32" spans="1:11" ht="14.4" customHeight="1" x14ac:dyDescent="0.3">
      <c r="A32" t="s">
        <v>113</v>
      </c>
    </row>
    <row r="33" spans="1:15" ht="14.4" customHeight="1" x14ac:dyDescent="0.3">
      <c r="A33" s="23" t="s">
        <v>7</v>
      </c>
      <c r="B33" s="24" t="s">
        <v>8</v>
      </c>
      <c r="C33" s="24" t="s">
        <v>9</v>
      </c>
      <c r="D33" s="24" t="s">
        <v>10</v>
      </c>
      <c r="E33" s="24" t="s">
        <v>11</v>
      </c>
      <c r="F33" s="24" t="s">
        <v>12</v>
      </c>
      <c r="G33" s="24" t="s">
        <v>13</v>
      </c>
      <c r="H33" s="24" t="s">
        <v>14</v>
      </c>
      <c r="I33" s="24" t="s">
        <v>15</v>
      </c>
      <c r="J33" s="24" t="s">
        <v>16</v>
      </c>
      <c r="K33" s="25" t="s">
        <v>17</v>
      </c>
      <c r="L33" s="33" t="s">
        <v>116</v>
      </c>
      <c r="M33" s="33" t="s">
        <v>120</v>
      </c>
      <c r="N33" s="33" t="s">
        <v>129</v>
      </c>
      <c r="O33" s="33" t="s">
        <v>115</v>
      </c>
    </row>
    <row r="34" spans="1:15" x14ac:dyDescent="0.3">
      <c r="A34" s="19" t="s">
        <v>18</v>
      </c>
      <c r="B34" s="5" t="s">
        <v>19</v>
      </c>
      <c r="C34" s="6" t="s">
        <v>20</v>
      </c>
      <c r="D34" s="6" t="s">
        <v>21</v>
      </c>
      <c r="E34" s="7">
        <v>7</v>
      </c>
      <c r="F34" s="7">
        <v>95000</v>
      </c>
      <c r="G34" s="5" t="s">
        <v>22</v>
      </c>
      <c r="H34" s="6" t="s">
        <v>23</v>
      </c>
      <c r="I34" s="6" t="s">
        <v>24</v>
      </c>
      <c r="J34" s="7">
        <v>32</v>
      </c>
      <c r="K34" s="21" t="s">
        <v>25</v>
      </c>
      <c r="L34">
        <f>Table2[[#This Row],[Basic Salary (₹)]]*(1+IF(Table2[[#This Row],[Years Exp]] &lt; 3, 0.08, IF(Table2[[#This Row],[Years Exp]] &lt;= 7, 0.12, 0.18)))</f>
        <v>106400.00000000001</v>
      </c>
      <c r="M34">
        <f>IF(Table2[[#This Row],[Basic Salary (₹)]] &lt;= 50000, 0, IF(Table2[[#This Row],[Basic Salary (₹)]] &lt;= 100000, (Table2[[#This Row],[Basic Salary (₹)]] - 50000)*10%,(50000*10%)+((Table2[[#This Row],[Basic Salary (₹)]]-100000)*20%)))</f>
        <v>4500</v>
      </c>
      <c r="N34" t="str" cm="1">
        <f t="array" ref="N34">IF(AND(Table2[Years Exp] &gt; 5, Table2[Basic Salary (₹)]&lt;80000), "ATTRITION RISK", "OK")</f>
        <v>OK</v>
      </c>
      <c r="O34">
        <f ca="1">IFERROR(DATEDIF(Table2[[#This Row],[Joining Date]], TODAY(), "Y"), 0)</f>
        <v>9</v>
      </c>
    </row>
    <row r="35" spans="1:15" x14ac:dyDescent="0.3">
      <c r="A35" s="20" t="s">
        <v>26</v>
      </c>
      <c r="B35" s="10" t="s">
        <v>27</v>
      </c>
      <c r="C35" s="11" t="s">
        <v>28</v>
      </c>
      <c r="D35" s="11" t="s">
        <v>29</v>
      </c>
      <c r="E35" s="12">
        <v>5</v>
      </c>
      <c r="F35" s="12">
        <v>78000</v>
      </c>
      <c r="G35" s="10" t="s">
        <v>30</v>
      </c>
      <c r="H35" s="11" t="s">
        <v>23</v>
      </c>
      <c r="I35" s="11" t="s">
        <v>31</v>
      </c>
      <c r="J35" s="12">
        <v>29</v>
      </c>
      <c r="K35" s="22" t="s">
        <v>32</v>
      </c>
      <c r="L35">
        <f>Table2[[#This Row],[Basic Salary (₹)]]*(1+IF(Table2[[#This Row],[Years Exp]] &lt; 3, 0.08, IF(Table2[[#This Row],[Years Exp]] &lt;= 7, 0.12, 0.18)))</f>
        <v>87360.000000000015</v>
      </c>
      <c r="M35">
        <f>IF(Table2[[#This Row],[Basic Salary (₹)]] &lt;= 50000, 0, IF(Table2[[#This Row],[Basic Salary (₹)]] &lt;= 100000, (Table2[[#This Row],[Basic Salary (₹)]] - 50000)*10%,(50000*10%)+((Table2[[#This Row],[Basic Salary (₹)]]-100000)*20%)))</f>
        <v>2800</v>
      </c>
      <c r="N35" t="str" cm="1">
        <f t="array" ref="N35">IF(AND(Table2[Years Exp] &gt; 5, Table2[Basic Salary (₹)]&lt;80000), "ATTRITION RISK", "OK")</f>
        <v>OK</v>
      </c>
      <c r="O35">
        <f ca="1">IFERROR(DATEDIF(Table2[[#This Row],[Joining Date]], TODAY(), "Y"), 0)</f>
        <v>7</v>
      </c>
    </row>
    <row r="36" spans="1:15" x14ac:dyDescent="0.3">
      <c r="A36" s="19" t="s">
        <v>33</v>
      </c>
      <c r="B36" s="5" t="s">
        <v>34</v>
      </c>
      <c r="C36" s="6" t="s">
        <v>20</v>
      </c>
      <c r="D36" s="6" t="s">
        <v>35</v>
      </c>
      <c r="E36" s="7">
        <v>2</v>
      </c>
      <c r="F36" s="7">
        <v>48000</v>
      </c>
      <c r="G36" s="5" t="s">
        <v>36</v>
      </c>
      <c r="H36" s="6" t="s">
        <v>23</v>
      </c>
      <c r="I36" s="6" t="s">
        <v>24</v>
      </c>
      <c r="J36" s="7">
        <v>25</v>
      </c>
      <c r="K36" s="21" t="s">
        <v>37</v>
      </c>
      <c r="L36">
        <f>Table2[[#This Row],[Basic Salary (₹)]]*(1+IF(Table2[[#This Row],[Years Exp]] &lt; 3, 0.08, IF(Table2[[#This Row],[Years Exp]] &lt;= 7, 0.12, 0.18)))</f>
        <v>51840</v>
      </c>
      <c r="M36">
        <f>IF(Table2[[#This Row],[Basic Salary (₹)]] &lt;= 50000, 0, IF(Table2[[#This Row],[Basic Salary (₹)]] &lt;= 100000, (Table2[[#This Row],[Basic Salary (₹)]] - 50000)*10%,(50000*10%)+((Table2[[#This Row],[Basic Salary (₹)]]-100000)*20%)))</f>
        <v>0</v>
      </c>
      <c r="N36" t="str" cm="1">
        <f t="array" ref="N36">IF(AND(Table2[Years Exp] &gt; 5, Table2[Basic Salary (₹)]&lt;80000), "ATTRITION RISK", "OK")</f>
        <v>OK</v>
      </c>
      <c r="O36">
        <f ca="1">IFERROR(DATEDIF(Table2[[#This Row],[Joining Date]], TODAY(), "Y"), 0)</f>
        <v>4</v>
      </c>
    </row>
    <row r="37" spans="1:15" x14ac:dyDescent="0.3">
      <c r="A37" s="20" t="s">
        <v>38</v>
      </c>
      <c r="B37" s="10" t="s">
        <v>39</v>
      </c>
      <c r="C37" s="11" t="s">
        <v>40</v>
      </c>
      <c r="D37" s="11" t="s">
        <v>41</v>
      </c>
      <c r="E37" s="12">
        <v>4</v>
      </c>
      <c r="F37" s="12">
        <v>55000</v>
      </c>
      <c r="G37" s="10" t="s">
        <v>42</v>
      </c>
      <c r="H37" s="11" t="s">
        <v>23</v>
      </c>
      <c r="I37" s="11" t="s">
        <v>31</v>
      </c>
      <c r="J37" s="12">
        <v>28</v>
      </c>
      <c r="K37" s="22" t="s">
        <v>43</v>
      </c>
      <c r="L37">
        <f>Table2[[#This Row],[Basic Salary (₹)]]*(1+IF(Table2[[#This Row],[Years Exp]] &lt; 3, 0.08, IF(Table2[[#This Row],[Years Exp]] &lt;= 7, 0.12, 0.18)))</f>
        <v>61600.000000000007</v>
      </c>
      <c r="M37">
        <f>IF(Table2[[#This Row],[Basic Salary (₹)]] &lt;= 50000, 0, IF(Table2[[#This Row],[Basic Salary (₹)]] &lt;= 100000, (Table2[[#This Row],[Basic Salary (₹)]] - 50000)*10%,(50000*10%)+((Table2[[#This Row],[Basic Salary (₹)]]-100000)*20%)))</f>
        <v>500</v>
      </c>
      <c r="N37" t="str" cm="1">
        <f t="array" ref="N37">IF(AND(Table2[Years Exp] &gt; 5, Table2[Basic Salary (₹)]&lt;80000), "ATTRITION RISK", "OK")</f>
        <v>OK</v>
      </c>
      <c r="O37">
        <f ca="1">IFERROR(DATEDIF(Table2[[#This Row],[Joining Date]], TODAY(), "Y"), 0)</f>
        <v>5</v>
      </c>
    </row>
    <row r="38" spans="1:15" x14ac:dyDescent="0.3">
      <c r="A38" s="19" t="s">
        <v>44</v>
      </c>
      <c r="B38" s="5" t="s">
        <v>45</v>
      </c>
      <c r="C38" s="6" t="s">
        <v>46</v>
      </c>
      <c r="D38" s="6" t="s">
        <v>47</v>
      </c>
      <c r="E38" s="7">
        <v>8</v>
      </c>
      <c r="F38" s="7">
        <v>110000</v>
      </c>
      <c r="G38" s="5" t="s">
        <v>48</v>
      </c>
      <c r="H38" s="6" t="s">
        <v>49</v>
      </c>
      <c r="I38" s="6" t="s">
        <v>24</v>
      </c>
      <c r="J38" s="7">
        <v>34</v>
      </c>
      <c r="K38" s="21" t="s">
        <v>25</v>
      </c>
      <c r="L38">
        <f>Table2[[#This Row],[Basic Salary (₹)]]*(1+IF(Table2[[#This Row],[Years Exp]] &lt; 3, 0.08, IF(Table2[[#This Row],[Years Exp]] &lt;= 7, 0.12, 0.18)))</f>
        <v>129800</v>
      </c>
      <c r="M38">
        <f>IF(Table2[[#This Row],[Basic Salary (₹)]] &lt;= 50000, 0, IF(Table2[[#This Row],[Basic Salary (₹)]] &lt;= 100000, (Table2[[#This Row],[Basic Salary (₹)]] - 50000)*10%,(50000*10%)+((Table2[[#This Row],[Basic Salary (₹)]]-100000)*20%)))</f>
        <v>7000</v>
      </c>
      <c r="N38" t="str" cm="1">
        <f t="array" ref="N38">IF(AND(Table2[Years Exp] &gt; 5, Table2[Basic Salary (₹)]&lt;80000), "ATTRITION RISK", "OK")</f>
        <v>OK</v>
      </c>
      <c r="O38">
        <f ca="1">IFERROR(DATEDIF(Table2[[#This Row],[Joining Date]], TODAY(), "Y"), 0)</f>
        <v>10</v>
      </c>
    </row>
    <row r="39" spans="1:15" x14ac:dyDescent="0.3">
      <c r="A39" s="20" t="s">
        <v>50</v>
      </c>
      <c r="B39" s="10" t="s">
        <v>51</v>
      </c>
      <c r="C39" s="11" t="s">
        <v>20</v>
      </c>
      <c r="D39" s="11" t="s">
        <v>52</v>
      </c>
      <c r="E39" s="12">
        <v>10</v>
      </c>
      <c r="F39" s="12">
        <v>130000</v>
      </c>
      <c r="G39" s="10" t="s">
        <v>53</v>
      </c>
      <c r="H39" s="11" t="s">
        <v>23</v>
      </c>
      <c r="I39" s="11" t="s">
        <v>31</v>
      </c>
      <c r="J39" s="12">
        <v>38</v>
      </c>
      <c r="K39" s="22" t="s">
        <v>54</v>
      </c>
      <c r="L39">
        <f>Table2[[#This Row],[Basic Salary (₹)]]*(1+IF(Table2[[#This Row],[Years Exp]] &lt; 3, 0.08, IF(Table2[[#This Row],[Years Exp]] &lt;= 7, 0.12, 0.18)))</f>
        <v>153400</v>
      </c>
      <c r="M39">
        <f>IF(Table2[[#This Row],[Basic Salary (₹)]] &lt;= 50000, 0, IF(Table2[[#This Row],[Basic Salary (₹)]] &lt;= 100000, (Table2[[#This Row],[Basic Salary (₹)]] - 50000)*10%,(50000*10%)+((Table2[[#This Row],[Basic Salary (₹)]]-100000)*20%)))</f>
        <v>11000</v>
      </c>
      <c r="N39" t="str" cm="1">
        <f t="array" ref="N39">IF(AND(Table2[Years Exp] &gt; 5, Table2[Basic Salary (₹)]&lt;80000), "ATTRITION RISK", "OK")</f>
        <v>OK</v>
      </c>
      <c r="O39">
        <f ca="1">IFERROR(DATEDIF(Table2[[#This Row],[Joining Date]], TODAY(), "Y"), 0)</f>
        <v>11</v>
      </c>
    </row>
    <row r="40" spans="1:15" x14ac:dyDescent="0.3">
      <c r="A40" s="19" t="s">
        <v>55</v>
      </c>
      <c r="B40" s="5" t="s">
        <v>56</v>
      </c>
      <c r="C40" s="6" t="s">
        <v>57</v>
      </c>
      <c r="D40" s="6" t="s">
        <v>58</v>
      </c>
      <c r="E40" s="7">
        <v>3</v>
      </c>
      <c r="F40" s="7">
        <v>52000</v>
      </c>
      <c r="G40" s="5" t="s">
        <v>59</v>
      </c>
      <c r="H40" s="6" t="s">
        <v>23</v>
      </c>
      <c r="I40" s="6" t="s">
        <v>24</v>
      </c>
      <c r="J40" s="7">
        <v>27</v>
      </c>
      <c r="K40" s="21" t="s">
        <v>60</v>
      </c>
      <c r="L40">
        <f>Table2[[#This Row],[Basic Salary (₹)]]*(1+IF(Table2[[#This Row],[Years Exp]] &lt; 3, 0.08, IF(Table2[[#This Row],[Years Exp]] &lt;= 7, 0.12, 0.18)))</f>
        <v>58240.000000000007</v>
      </c>
      <c r="M40">
        <f>IF(Table2[[#This Row],[Basic Salary (₹)]] &lt;= 50000, 0, IF(Table2[[#This Row],[Basic Salary (₹)]] &lt;= 100000, (Table2[[#This Row],[Basic Salary (₹)]] - 50000)*10%,(50000*10%)+((Table2[[#This Row],[Basic Salary (₹)]]-100000)*20%)))</f>
        <v>200</v>
      </c>
      <c r="N40" t="str" cm="1">
        <f t="array" ref="N40">IF(AND(Table2[Years Exp] &gt; 5, Table2[Basic Salary (₹)]&lt;80000), "ATTRITION RISK", "OK")</f>
        <v>OK</v>
      </c>
      <c r="O40">
        <f ca="1">IFERROR(DATEDIF(Table2[[#This Row],[Joining Date]], TODAY(), "Y"), 0)</f>
        <v>5</v>
      </c>
    </row>
    <row r="41" spans="1:15" x14ac:dyDescent="0.3">
      <c r="A41" s="20" t="s">
        <v>61</v>
      </c>
      <c r="B41" s="10" t="s">
        <v>62</v>
      </c>
      <c r="C41" s="11" t="s">
        <v>28</v>
      </c>
      <c r="D41" s="11" t="s">
        <v>63</v>
      </c>
      <c r="E41" s="12">
        <v>9</v>
      </c>
      <c r="F41" s="12">
        <v>105000</v>
      </c>
      <c r="G41" s="10" t="s">
        <v>64</v>
      </c>
      <c r="H41" s="11" t="s">
        <v>23</v>
      </c>
      <c r="I41" s="11" t="s">
        <v>31</v>
      </c>
      <c r="J41" s="12">
        <v>36</v>
      </c>
      <c r="K41" s="22" t="s">
        <v>65</v>
      </c>
      <c r="L41">
        <f>Table2[[#This Row],[Basic Salary (₹)]]*(1+IF(Table2[[#This Row],[Years Exp]] &lt; 3, 0.08, IF(Table2[[#This Row],[Years Exp]] &lt;= 7, 0.12, 0.18)))</f>
        <v>123900</v>
      </c>
      <c r="M41">
        <f>IF(Table2[[#This Row],[Basic Salary (₹)]] &lt;= 50000, 0, IF(Table2[[#This Row],[Basic Salary (₹)]] &lt;= 100000, (Table2[[#This Row],[Basic Salary (₹)]] - 50000)*10%,(50000*10%)+((Table2[[#This Row],[Basic Salary (₹)]]-100000)*20%)))</f>
        <v>6000</v>
      </c>
      <c r="N41" t="str" cm="1">
        <f t="array" ref="N41">IF(AND(Table2[Years Exp] &gt; 5, Table2[Basic Salary (₹)]&lt;80000), "ATTRITION RISK", "OK")</f>
        <v>OK</v>
      </c>
      <c r="O41">
        <f ca="1">IFERROR(DATEDIF(Table2[[#This Row],[Joining Date]], TODAY(), "Y"), 0)</f>
        <v>10</v>
      </c>
    </row>
    <row r="42" spans="1:15" x14ac:dyDescent="0.3">
      <c r="A42" s="19" t="s">
        <v>66</v>
      </c>
      <c r="B42" s="5" t="s">
        <v>67</v>
      </c>
      <c r="C42" s="6" t="s">
        <v>46</v>
      </c>
      <c r="D42" s="6" t="s">
        <v>68</v>
      </c>
      <c r="E42" s="7">
        <v>1</v>
      </c>
      <c r="F42" s="7">
        <v>42000</v>
      </c>
      <c r="G42" s="5" t="s">
        <v>69</v>
      </c>
      <c r="H42" s="6" t="s">
        <v>49</v>
      </c>
      <c r="I42" s="6" t="s">
        <v>24</v>
      </c>
      <c r="J42" s="7">
        <v>24</v>
      </c>
      <c r="K42" s="21" t="s">
        <v>32</v>
      </c>
      <c r="L42">
        <f>Table2[[#This Row],[Basic Salary (₹)]]*(1+IF(Table2[[#This Row],[Years Exp]] &lt; 3, 0.08, IF(Table2[[#This Row],[Years Exp]] &lt;= 7, 0.12, 0.18)))</f>
        <v>45360</v>
      </c>
      <c r="M42">
        <f>IF(Table2[[#This Row],[Basic Salary (₹)]] &lt;= 50000, 0, IF(Table2[[#This Row],[Basic Salary (₹)]] &lt;= 100000, (Table2[[#This Row],[Basic Salary (₹)]] - 50000)*10%,(50000*10%)+((Table2[[#This Row],[Basic Salary (₹)]]-100000)*20%)))</f>
        <v>0</v>
      </c>
      <c r="N42" t="str" cm="1">
        <f t="array" ref="N42">IF(AND(Table2[Years Exp] &gt; 5, Table2[Basic Salary (₹)]&lt;80000), "ATTRITION RISK", "OK")</f>
        <v>OK</v>
      </c>
      <c r="O42">
        <f ca="1">IFERROR(DATEDIF(Table2[[#This Row],[Joining Date]], TODAY(), "Y"), 0)</f>
        <v>3</v>
      </c>
    </row>
    <row r="43" spans="1:15" x14ac:dyDescent="0.3">
      <c r="A43" s="20" t="s">
        <v>70</v>
      </c>
      <c r="B43" s="10" t="s">
        <v>71</v>
      </c>
      <c r="C43" s="11" t="s">
        <v>40</v>
      </c>
      <c r="D43" s="11" t="s">
        <v>72</v>
      </c>
      <c r="E43" s="12">
        <v>6</v>
      </c>
      <c r="F43" s="12">
        <v>88000</v>
      </c>
      <c r="G43" s="10" t="s">
        <v>73</v>
      </c>
      <c r="H43" s="11" t="s">
        <v>23</v>
      </c>
      <c r="I43" s="11" t="s">
        <v>31</v>
      </c>
      <c r="J43" s="12">
        <v>31</v>
      </c>
      <c r="K43" s="22" t="s">
        <v>43</v>
      </c>
      <c r="L43">
        <f>Table2[[#This Row],[Basic Salary (₹)]]*(1+IF(Table2[[#This Row],[Years Exp]] &lt; 3, 0.08, IF(Table2[[#This Row],[Years Exp]] &lt;= 7, 0.12, 0.18)))</f>
        <v>98560.000000000015</v>
      </c>
      <c r="M43">
        <f>IF(Table2[[#This Row],[Basic Salary (₹)]] &lt;= 50000, 0, IF(Table2[[#This Row],[Basic Salary (₹)]] &lt;= 100000, (Table2[[#This Row],[Basic Salary (₹)]] - 50000)*10%,(50000*10%)+((Table2[[#This Row],[Basic Salary (₹)]]-100000)*20%)))</f>
        <v>3800</v>
      </c>
      <c r="N43" t="str" cm="1">
        <f t="array" ref="N43">IF(AND(Table2[Years Exp] &gt; 5, Table2[Basic Salary (₹)]&lt;80000), "ATTRITION RISK", "OK")</f>
        <v>OK</v>
      </c>
      <c r="O43">
        <f ca="1">IFERROR(DATEDIF(Table2[[#This Row],[Joining Date]], TODAY(), "Y"), 0)</f>
        <v>7</v>
      </c>
    </row>
    <row r="44" spans="1:15" x14ac:dyDescent="0.3">
      <c r="A44" s="19" t="s">
        <v>74</v>
      </c>
      <c r="B44" s="5" t="s">
        <v>75</v>
      </c>
      <c r="C44" s="6" t="s">
        <v>20</v>
      </c>
      <c r="D44" s="6" t="s">
        <v>76</v>
      </c>
      <c r="E44" s="7">
        <v>12</v>
      </c>
      <c r="F44" s="7">
        <v>160000</v>
      </c>
      <c r="G44" s="5" t="s">
        <v>77</v>
      </c>
      <c r="H44" s="6" t="s">
        <v>23</v>
      </c>
      <c r="I44" s="6" t="s">
        <v>24</v>
      </c>
      <c r="J44" s="7">
        <v>40</v>
      </c>
      <c r="K44" s="21" t="s">
        <v>25</v>
      </c>
      <c r="L44">
        <f>Table2[[#This Row],[Basic Salary (₹)]]*(1+IF(Table2[[#This Row],[Years Exp]] &lt; 3, 0.08, IF(Table2[[#This Row],[Years Exp]] &lt;= 7, 0.12, 0.18)))</f>
        <v>188800</v>
      </c>
      <c r="M44">
        <f>IF(Table2[[#This Row],[Basic Salary (₹)]] &lt;= 50000, 0, IF(Table2[[#This Row],[Basic Salary (₹)]] &lt;= 100000, (Table2[[#This Row],[Basic Salary (₹)]] - 50000)*10%,(50000*10%)+((Table2[[#This Row],[Basic Salary (₹)]]-100000)*20%)))</f>
        <v>17000</v>
      </c>
      <c r="N44" t="str" cm="1">
        <f t="array" ref="N44">IF(AND(Table2[Years Exp] &gt; 5, Table2[Basic Salary (₹)]&lt;80000), "ATTRITION RISK", "OK")</f>
        <v>OK</v>
      </c>
      <c r="O44">
        <f ca="1">IFERROR(DATEDIF(Table2[[#This Row],[Joining Date]], TODAY(), "Y"), 0)</f>
        <v>14</v>
      </c>
    </row>
    <row r="45" spans="1:15" x14ac:dyDescent="0.3">
      <c r="A45" s="20" t="s">
        <v>78</v>
      </c>
      <c r="B45" s="10" t="s">
        <v>79</v>
      </c>
      <c r="C45" s="11" t="s">
        <v>57</v>
      </c>
      <c r="D45" s="11" t="s">
        <v>80</v>
      </c>
      <c r="E45" s="12">
        <v>7</v>
      </c>
      <c r="F45" s="12">
        <v>92000</v>
      </c>
      <c r="G45" s="10" t="s">
        <v>81</v>
      </c>
      <c r="H45" s="11" t="s">
        <v>49</v>
      </c>
      <c r="I45" s="11" t="s">
        <v>31</v>
      </c>
      <c r="J45" s="12">
        <v>33</v>
      </c>
      <c r="K45" s="22" t="s">
        <v>37</v>
      </c>
      <c r="L45">
        <f>Table2[[#This Row],[Basic Salary (₹)]]*(1+IF(Table2[[#This Row],[Years Exp]] &lt; 3, 0.08, IF(Table2[[#This Row],[Years Exp]] &lt;= 7, 0.12, 0.18)))</f>
        <v>103040.00000000001</v>
      </c>
      <c r="M45">
        <f>IF(Table2[[#This Row],[Basic Salary (₹)]] &lt;= 50000, 0, IF(Table2[[#This Row],[Basic Salary (₹)]] &lt;= 100000, (Table2[[#This Row],[Basic Salary (₹)]] - 50000)*10%,(50000*10%)+((Table2[[#This Row],[Basic Salary (₹)]]-100000)*20%)))</f>
        <v>4200</v>
      </c>
      <c r="N45" t="str" cm="1">
        <f t="array" ref="N45">IF(AND(Table2[Years Exp] &gt; 5, Table2[Basic Salary (₹)]&lt;80000), "ATTRITION RISK", "OK")</f>
        <v>OK</v>
      </c>
      <c r="O45">
        <f ca="1">IFERROR(DATEDIF(Table2[[#This Row],[Joining Date]], TODAY(), "Y"), 0)</f>
        <v>9</v>
      </c>
    </row>
    <row r="46" spans="1:15" x14ac:dyDescent="0.3">
      <c r="A46" s="19" t="s">
        <v>82</v>
      </c>
      <c r="B46" s="5" t="s">
        <v>83</v>
      </c>
      <c r="C46" s="6" t="s">
        <v>46</v>
      </c>
      <c r="D46" s="6" t="s">
        <v>84</v>
      </c>
      <c r="E46" s="7" t="s">
        <v>85</v>
      </c>
      <c r="F46" s="7">
        <v>200000</v>
      </c>
      <c r="G46" s="5" t="s">
        <v>86</v>
      </c>
      <c r="H46" s="6" t="s">
        <v>23</v>
      </c>
      <c r="I46" s="6" t="s">
        <v>24</v>
      </c>
      <c r="J46" s="7">
        <v>46</v>
      </c>
      <c r="K46" s="21" t="s">
        <v>25</v>
      </c>
      <c r="L46">
        <f>Table2[[#This Row],[Basic Salary (₹)]]*(1+IF(Table2[[#This Row],[Years Exp]] &lt; 3, 0.08, IF(Table2[[#This Row],[Years Exp]] &lt;= 7, 0.12, 0.18)))</f>
        <v>236000</v>
      </c>
      <c r="M46">
        <f>IF(Table2[[#This Row],[Basic Salary (₹)]] &lt;= 50000, 0, IF(Table2[[#This Row],[Basic Salary (₹)]] &lt;= 100000, (Table2[[#This Row],[Basic Salary (₹)]] - 50000)*10%,(50000*10%)+((Table2[[#This Row],[Basic Salary (₹)]]-100000)*20%)))</f>
        <v>25000</v>
      </c>
      <c r="N46" t="str" cm="1">
        <f t="array" ref="N46">IF(AND(Table2[Years Exp] &gt; 5, Table2[Basic Salary (₹)]&lt;80000), "ATTRITION RISK", "OK")</f>
        <v>OK</v>
      </c>
      <c r="O46">
        <f ca="1">IFERROR(DATEDIF(Table2[[#This Row],[Joining Date]], TODAY(), "Y"), 0)</f>
        <v>17</v>
      </c>
    </row>
    <row r="47" spans="1:15" x14ac:dyDescent="0.3">
      <c r="A47" s="20" t="s">
        <v>87</v>
      </c>
      <c r="B47" s="10" t="s">
        <v>88</v>
      </c>
      <c r="C47" s="11" t="s">
        <v>28</v>
      </c>
      <c r="D47" s="11" t="s">
        <v>89</v>
      </c>
      <c r="E47" s="12">
        <v>2</v>
      </c>
      <c r="F47" s="12">
        <v>45000</v>
      </c>
      <c r="G47" s="10" t="s">
        <v>90</v>
      </c>
      <c r="H47" s="11" t="s">
        <v>23</v>
      </c>
      <c r="I47" s="11" t="s">
        <v>31</v>
      </c>
      <c r="J47" s="12">
        <v>26</v>
      </c>
      <c r="K47" s="22" t="s">
        <v>32</v>
      </c>
      <c r="L47">
        <f>Table2[[#This Row],[Basic Salary (₹)]]*(1+IF(Table2[[#This Row],[Years Exp]] &lt; 3, 0.08, IF(Table2[[#This Row],[Years Exp]] &lt;= 7, 0.12, 0.18)))</f>
        <v>48600</v>
      </c>
      <c r="M47">
        <f>IF(Table2[[#This Row],[Basic Salary (₹)]] &lt;= 50000, 0, IF(Table2[[#This Row],[Basic Salary (₹)]] &lt;= 100000, (Table2[[#This Row],[Basic Salary (₹)]] - 50000)*10%,(50000*10%)+((Table2[[#This Row],[Basic Salary (₹)]]-100000)*20%)))</f>
        <v>0</v>
      </c>
      <c r="N47" t="str" cm="1">
        <f t="array" ref="N47">IF(AND(Table2[Years Exp] &gt; 5, Table2[Basic Salary (₹)]&lt;80000), "ATTRITION RISK", "OK")</f>
        <v>OK</v>
      </c>
      <c r="O47">
        <f ca="1">IFERROR(DATEDIF(Table2[[#This Row],[Joining Date]], TODAY(), "Y"), 0)</f>
        <v>3</v>
      </c>
    </row>
    <row r="48" spans="1:15" x14ac:dyDescent="0.3">
      <c r="A48" s="19" t="s">
        <v>91</v>
      </c>
      <c r="B48" s="5" t="s">
        <v>92</v>
      </c>
      <c r="C48" s="6" t="s">
        <v>20</v>
      </c>
      <c r="D48" s="6" t="s">
        <v>21</v>
      </c>
      <c r="E48" s="7">
        <v>6</v>
      </c>
      <c r="F48" s="7">
        <v>98000</v>
      </c>
      <c r="G48" s="5" t="s">
        <v>93</v>
      </c>
      <c r="H48" s="6" t="s">
        <v>23</v>
      </c>
      <c r="I48" s="6" t="s">
        <v>24</v>
      </c>
      <c r="J48" s="7">
        <v>31</v>
      </c>
      <c r="K48" s="21" t="s">
        <v>54</v>
      </c>
      <c r="L48">
        <f>Table2[[#This Row],[Basic Salary (₹)]]*(1+IF(Table2[[#This Row],[Years Exp]] &lt; 3, 0.08, IF(Table2[[#This Row],[Years Exp]] &lt;= 7, 0.12, 0.18)))</f>
        <v>109760.00000000001</v>
      </c>
      <c r="M48">
        <f>IF(Table2[[#This Row],[Basic Salary (₹)]] &lt;= 50000, 0, IF(Table2[[#This Row],[Basic Salary (₹)]] &lt;= 100000, (Table2[[#This Row],[Basic Salary (₹)]] - 50000)*10%,(50000*10%)+((Table2[[#This Row],[Basic Salary (₹)]]-100000)*20%)))</f>
        <v>4800</v>
      </c>
      <c r="N48" t="str" cm="1">
        <f t="array" ref="N48">IF(AND(Table2[Years Exp] &gt; 5, Table2[Basic Salary (₹)]&lt;80000), "ATTRITION RISK", "OK")</f>
        <v>OK</v>
      </c>
      <c r="O48">
        <f ca="1">IFERROR(DATEDIF(Table2[[#This Row],[Joining Date]], TODAY(), "Y"), 0)</f>
        <v>8</v>
      </c>
    </row>
    <row r="49" spans="1:15" x14ac:dyDescent="0.3">
      <c r="A49" s="20" t="s">
        <v>94</v>
      </c>
      <c r="B49" s="10" t="s">
        <v>95</v>
      </c>
      <c r="C49" s="11" t="s">
        <v>40</v>
      </c>
      <c r="D49" s="11" t="s">
        <v>96</v>
      </c>
      <c r="E49" s="12">
        <v>14</v>
      </c>
      <c r="F49" s="12">
        <v>185000</v>
      </c>
      <c r="G49" s="10" t="s">
        <v>97</v>
      </c>
      <c r="H49" s="11" t="s">
        <v>23</v>
      </c>
      <c r="I49" s="11" t="s">
        <v>31</v>
      </c>
      <c r="J49" s="12">
        <v>44</v>
      </c>
      <c r="K49" s="22" t="s">
        <v>25</v>
      </c>
      <c r="L49">
        <f>Table2[[#This Row],[Basic Salary (₹)]]*(1+IF(Table2[[#This Row],[Years Exp]] &lt; 3, 0.08, IF(Table2[[#This Row],[Years Exp]] &lt;= 7, 0.12, 0.18)))</f>
        <v>218300</v>
      </c>
      <c r="M49">
        <f>IF(Table2[[#This Row],[Basic Salary (₹)]] &lt;= 50000, 0, IF(Table2[[#This Row],[Basic Salary (₹)]] &lt;= 100000, (Table2[[#This Row],[Basic Salary (₹)]] - 50000)*10%,(50000*10%)+((Table2[[#This Row],[Basic Salary (₹)]]-100000)*20%)))</f>
        <v>22000</v>
      </c>
      <c r="N49" t="str" cm="1">
        <f t="array" ref="N49">IF(AND(Table2[Years Exp] &gt; 5, Table2[Basic Salary (₹)]&lt;80000), "ATTRITION RISK", "OK")</f>
        <v>OK</v>
      </c>
      <c r="O49">
        <f ca="1">IFERROR(DATEDIF(Table2[[#This Row],[Joining Date]], TODAY(), "Y"), 0)</f>
        <v>15</v>
      </c>
    </row>
    <row r="50" spans="1:15" x14ac:dyDescent="0.3">
      <c r="A50" s="19" t="s">
        <v>98</v>
      </c>
      <c r="B50" s="5" t="s">
        <v>99</v>
      </c>
      <c r="C50" s="6" t="s">
        <v>57</v>
      </c>
      <c r="D50" s="6" t="s">
        <v>58</v>
      </c>
      <c r="E50" s="7">
        <v>1</v>
      </c>
      <c r="F50" s="7">
        <v>40000</v>
      </c>
      <c r="G50" s="5" t="s">
        <v>100</v>
      </c>
      <c r="H50" s="6" t="s">
        <v>23</v>
      </c>
      <c r="I50" s="6" t="s">
        <v>24</v>
      </c>
      <c r="J50" s="7">
        <v>23</v>
      </c>
      <c r="K50" s="21" t="s">
        <v>60</v>
      </c>
      <c r="L50">
        <f>Table2[[#This Row],[Basic Salary (₹)]]*(1+IF(Table2[[#This Row],[Years Exp]] &lt; 3, 0.08, IF(Table2[[#This Row],[Years Exp]] &lt;= 7, 0.12, 0.18)))</f>
        <v>43200</v>
      </c>
      <c r="M50">
        <f>IF(Table2[[#This Row],[Basic Salary (₹)]] &lt;= 50000, 0, IF(Table2[[#This Row],[Basic Salary (₹)]] &lt;= 100000, (Table2[[#This Row],[Basic Salary (₹)]] - 50000)*10%,(50000*10%)+((Table2[[#This Row],[Basic Salary (₹)]]-100000)*20%)))</f>
        <v>0</v>
      </c>
      <c r="N50" t="str" cm="1">
        <f t="array" ref="N50">IF(AND(Table2[Years Exp] &gt; 5, Table2[Basic Salary (₹)]&lt;80000), "ATTRITION RISK", "OK")</f>
        <v>OK</v>
      </c>
      <c r="O50">
        <f ca="1">IFERROR(DATEDIF(Table2[[#This Row],[Joining Date]], TODAY(), "Y"), 0)</f>
        <v>2</v>
      </c>
    </row>
    <row r="51" spans="1:15" x14ac:dyDescent="0.3">
      <c r="A51" s="20" t="s">
        <v>101</v>
      </c>
      <c r="B51" s="10" t="s">
        <v>102</v>
      </c>
      <c r="C51" s="11" t="s">
        <v>46</v>
      </c>
      <c r="D51" s="11" t="s">
        <v>68</v>
      </c>
      <c r="E51" s="12">
        <v>3</v>
      </c>
      <c r="F51" s="12">
        <v>58000</v>
      </c>
      <c r="G51" s="10" t="s">
        <v>103</v>
      </c>
      <c r="H51" s="11" t="s">
        <v>49</v>
      </c>
      <c r="I51" s="11" t="s">
        <v>31</v>
      </c>
      <c r="J51" s="12">
        <v>28</v>
      </c>
      <c r="K51" s="22" t="s">
        <v>65</v>
      </c>
      <c r="L51">
        <f>Table2[[#This Row],[Basic Salary (₹)]]*(1+IF(Table2[[#This Row],[Years Exp]] &lt; 3, 0.08, IF(Table2[[#This Row],[Years Exp]] &lt;= 7, 0.12, 0.18)))</f>
        <v>64960.000000000007</v>
      </c>
      <c r="M51">
        <f>IF(Table2[[#This Row],[Basic Salary (₹)]] &lt;= 50000, 0, IF(Table2[[#This Row],[Basic Salary (₹)]] &lt;= 100000, (Table2[[#This Row],[Basic Salary (₹)]] - 50000)*10%,(50000*10%)+((Table2[[#This Row],[Basic Salary (₹)]]-100000)*20%)))</f>
        <v>800</v>
      </c>
      <c r="N51" t="str" cm="1">
        <f t="array" ref="N51">IF(AND(Table2[Years Exp] &gt; 5, Table2[Basic Salary (₹)]&lt;80000), "ATTRITION RISK", "OK")</f>
        <v>OK</v>
      </c>
      <c r="O51">
        <f ca="1">IFERROR(DATEDIF(Table2[[#This Row],[Joining Date]], TODAY(), "Y"), 0)</f>
        <v>5</v>
      </c>
    </row>
    <row r="52" spans="1:15" x14ac:dyDescent="0.3">
      <c r="A52" s="19" t="s">
        <v>104</v>
      </c>
      <c r="B52" s="5" t="s">
        <v>105</v>
      </c>
      <c r="C52" s="6" t="s">
        <v>20</v>
      </c>
      <c r="D52" s="6" t="s">
        <v>29</v>
      </c>
      <c r="E52" s="7">
        <v>8</v>
      </c>
      <c r="F52" s="7">
        <v>115000</v>
      </c>
      <c r="G52" s="5" t="s">
        <v>106</v>
      </c>
      <c r="H52" s="6" t="s">
        <v>23</v>
      </c>
      <c r="I52" s="6" t="s">
        <v>24</v>
      </c>
      <c r="J52" s="7">
        <v>35</v>
      </c>
      <c r="K52" s="21" t="s">
        <v>43</v>
      </c>
      <c r="L52">
        <f>Table2[[#This Row],[Basic Salary (₹)]]*(1+IF(Table2[[#This Row],[Years Exp]] &lt; 3, 0.08, IF(Table2[[#This Row],[Years Exp]] &lt;= 7, 0.12, 0.18)))</f>
        <v>135700</v>
      </c>
      <c r="M52">
        <f>IF(Table2[[#This Row],[Basic Salary (₹)]] &lt;= 50000, 0, IF(Table2[[#This Row],[Basic Salary (₹)]] &lt;= 100000, (Table2[[#This Row],[Basic Salary (₹)]] - 50000)*10%,(50000*10%)+((Table2[[#This Row],[Basic Salary (₹)]]-100000)*20%)))</f>
        <v>8000</v>
      </c>
      <c r="N52" t="str" cm="1">
        <f t="array" ref="N52">IF(AND(Table2[Years Exp] &gt; 5, Table2[Basic Salary (₹)]&lt;80000), "ATTRITION RISK", "OK")</f>
        <v>OK</v>
      </c>
      <c r="O52">
        <f ca="1">IFERROR(DATEDIF(Table2[[#This Row],[Joining Date]], TODAY(), "Y"), 0)</f>
        <v>10</v>
      </c>
    </row>
    <row r="53" spans="1:15" x14ac:dyDescent="0.3">
      <c r="A53" s="26" t="s">
        <v>107</v>
      </c>
      <c r="B53" s="27" t="s">
        <v>108</v>
      </c>
      <c r="C53" s="28" t="s">
        <v>28</v>
      </c>
      <c r="D53" s="28" t="s">
        <v>109</v>
      </c>
      <c r="E53" s="29">
        <v>11</v>
      </c>
      <c r="F53" s="29">
        <v>155000</v>
      </c>
      <c r="G53" s="27" t="s">
        <v>110</v>
      </c>
      <c r="H53" s="28" t="s">
        <v>23</v>
      </c>
      <c r="I53" s="28" t="s">
        <v>31</v>
      </c>
      <c r="J53" s="29">
        <v>42</v>
      </c>
      <c r="K53" s="30" t="s">
        <v>25</v>
      </c>
      <c r="L53">
        <f>Table2[[#This Row],[Basic Salary (₹)]]*(1+IF(Table2[[#This Row],[Years Exp]] &lt; 3, 0.08, IF(Table2[[#This Row],[Years Exp]] &lt;= 7, 0.12, 0.18)))</f>
        <v>182900</v>
      </c>
      <c r="M53">
        <f>IF(Table2[[#This Row],[Basic Salary (₹)]] &lt;= 50000, 0, IF(Table2[[#This Row],[Basic Salary (₹)]] &lt;= 100000, (Table2[[#This Row],[Basic Salary (₹)]] - 50000)*10%,(50000*10%)+((Table2[[#This Row],[Basic Salary (₹)]]-100000)*20%)))</f>
        <v>16000</v>
      </c>
      <c r="N53" t="str" cm="1">
        <f t="array" ref="N53">IF(AND(Table2[Years Exp] &gt; 5, Table2[Basic Salary (₹)]&lt;80000), "ATTRITION RISK", "OK")</f>
        <v>OK</v>
      </c>
      <c r="O53">
        <f ca="1">IFERROR(DATEDIF(Table2[[#This Row],[Joining Date]], TODAY(), "Y"), 0)</f>
        <v>12</v>
      </c>
    </row>
    <row r="55" spans="1:15" x14ac:dyDescent="0.3">
      <c r="A55" s="45" t="s">
        <v>111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spans="1:15" x14ac:dyDescent="0.3">
      <c r="B56" s="31" t="s">
        <v>114</v>
      </c>
    </row>
    <row r="60" spans="1:15" x14ac:dyDescent="0.3">
      <c r="A60" s="45" t="s">
        <v>112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</row>
    <row r="62" spans="1:15" x14ac:dyDescent="0.3">
      <c r="A62" s="31" t="s">
        <v>117</v>
      </c>
    </row>
    <row r="63" spans="1:15" x14ac:dyDescent="0.3">
      <c r="A63" s="31" t="s">
        <v>9</v>
      </c>
      <c r="B63" s="31" t="s">
        <v>49</v>
      </c>
      <c r="C63" s="31" t="s">
        <v>118</v>
      </c>
      <c r="D63" s="31" t="s">
        <v>119</v>
      </c>
    </row>
    <row r="64" spans="1:15" x14ac:dyDescent="0.3">
      <c r="A64" t="s">
        <v>20</v>
      </c>
      <c r="B64">
        <f>COUNTIFS(Table2[Department], Table3[[#This Row],[Department]], Table2[Status], "Resigned")</f>
        <v>0</v>
      </c>
      <c r="C64">
        <f>COUNTIF(Table2[Department], Table3[[#This Row],[Department]])</f>
        <v>6</v>
      </c>
      <c r="D64" s="42">
        <f>Table3[[#This Row],[Resigned]]/Table3[[#This Row],[Total]]</f>
        <v>0</v>
      </c>
    </row>
    <row r="65" spans="1:13" x14ac:dyDescent="0.3">
      <c r="A65" t="s">
        <v>40</v>
      </c>
      <c r="B65">
        <f>COUNTIFS(Table2[Department], Table3[[#This Row],[Department]], Table2[Status], "Resigned")</f>
        <v>0</v>
      </c>
      <c r="C65">
        <f>COUNTIF(Table2[Department], Table3[[#This Row],[Department]])</f>
        <v>3</v>
      </c>
      <c r="D65" s="42">
        <f>Table3[[#This Row],[Resigned]]/Table3[[#This Row],[Total]]</f>
        <v>0</v>
      </c>
    </row>
    <row r="66" spans="1:13" x14ac:dyDescent="0.3">
      <c r="A66" t="s">
        <v>46</v>
      </c>
      <c r="B66">
        <f>COUNTIFS(Table2[Department], Table3[[#This Row],[Department]], Table2[Status], "Resigned")</f>
        <v>3</v>
      </c>
      <c r="C66">
        <f>COUNTIF(Table2[Department], Table3[[#This Row],[Department]])</f>
        <v>4</v>
      </c>
      <c r="D66" s="42">
        <f>Table3[[#This Row],[Resigned]]/Table3[[#This Row],[Total]]</f>
        <v>0.75</v>
      </c>
    </row>
    <row r="67" spans="1:13" x14ac:dyDescent="0.3">
      <c r="A67" t="s">
        <v>28</v>
      </c>
      <c r="B67">
        <f>COUNTIFS(Table2[Department], Table3[[#This Row],[Department]], Table2[Status], "Resigned")</f>
        <v>0</v>
      </c>
      <c r="C67">
        <f>COUNTIF(Table2[Department], Table3[[#This Row],[Department]])</f>
        <v>4</v>
      </c>
      <c r="D67" s="42">
        <f>Table3[[#This Row],[Resigned]]/Table3[[#This Row],[Total]]</f>
        <v>0</v>
      </c>
    </row>
    <row r="68" spans="1:13" x14ac:dyDescent="0.3">
      <c r="A68" t="s">
        <v>57</v>
      </c>
      <c r="B68">
        <f>COUNTIFS(Table2[Department], Table3[[#This Row],[Department]], Table2[Status], "Resigned")</f>
        <v>1</v>
      </c>
      <c r="C68">
        <f>COUNTIF(Table2[Department], Table3[[#This Row],[Department]])</f>
        <v>3</v>
      </c>
      <c r="D68" s="42">
        <f>Table3[[#This Row],[Resigned]]/Table3[[#This Row],[Total]]</f>
        <v>0.33333333333333331</v>
      </c>
    </row>
    <row r="70" spans="1:13" ht="14.4" customHeight="1" x14ac:dyDescent="0.3">
      <c r="A70" s="45" t="s">
        <v>121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</row>
    <row r="71" spans="1:13" x14ac:dyDescent="0.3">
      <c r="B71" s="31" t="s">
        <v>122</v>
      </c>
    </row>
    <row r="73" spans="1:13" ht="14.4" customHeight="1" x14ac:dyDescent="0.3">
      <c r="A73" s="45" t="s">
        <v>123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</row>
    <row r="75" spans="1:13" x14ac:dyDescent="0.3">
      <c r="A75" s="31" t="s">
        <v>124</v>
      </c>
    </row>
    <row r="76" spans="1:13" x14ac:dyDescent="0.3">
      <c r="A76" s="36" t="s">
        <v>15</v>
      </c>
      <c r="B76" s="37" t="s">
        <v>9</v>
      </c>
      <c r="C76" s="38" t="s">
        <v>125</v>
      </c>
    </row>
    <row r="77" spans="1:13" x14ac:dyDescent="0.3">
      <c r="A77" s="39" t="s">
        <v>126</v>
      </c>
      <c r="B77" s="40" t="s">
        <v>20</v>
      </c>
      <c r="C77" s="41">
        <f>AVERAGEIFS(Table2[Basic Salary (₹)], Table2[Gender], "M", Table2[Department], "Engineering")</f>
        <v>103200</v>
      </c>
    </row>
    <row r="78" spans="1:13" x14ac:dyDescent="0.3">
      <c r="A78" s="34" t="s">
        <v>127</v>
      </c>
      <c r="B78" s="35" t="s">
        <v>40</v>
      </c>
      <c r="C78" s="32">
        <f>AVERAGEIFS(Table2[Basic Salary (₹)], Table2[Gender], "F", Table2[Department], "HR")</f>
        <v>109333.33333333333</v>
      </c>
    </row>
    <row r="80" spans="1:13" ht="14.4" customHeight="1" x14ac:dyDescent="0.3">
      <c r="A80" s="43" t="s">
        <v>128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</row>
    <row r="82" spans="1:11" x14ac:dyDescent="0.3">
      <c r="A82" s="43" t="s">
        <v>130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</row>
    <row r="83" spans="1:11" x14ac:dyDescent="0.3">
      <c r="A83" s="31" t="s">
        <v>131</v>
      </c>
    </row>
  </sheetData>
  <mergeCells count="15">
    <mergeCell ref="A7:K7"/>
    <mergeCell ref="A8:K8"/>
    <mergeCell ref="A9:K9"/>
    <mergeCell ref="A55:N55"/>
    <mergeCell ref="A1:K1"/>
    <mergeCell ref="A2:K2"/>
    <mergeCell ref="A3:K3"/>
    <mergeCell ref="A4:K4"/>
    <mergeCell ref="A5:K5"/>
    <mergeCell ref="A6:K6"/>
    <mergeCell ref="A80:K80"/>
    <mergeCell ref="A82:K82"/>
    <mergeCell ref="A60:N60"/>
    <mergeCell ref="A70:M70"/>
    <mergeCell ref="A73:K7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case_study2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Sami Siddiqui</dc:creator>
  <cp:lastModifiedBy>Mohd Sami Siddiqui</cp:lastModifiedBy>
  <dcterms:created xsi:type="dcterms:W3CDTF">2026-06-24T14:43:01Z</dcterms:created>
  <dcterms:modified xsi:type="dcterms:W3CDTF">2026-06-24T17:10:53Z</dcterms:modified>
</cp:coreProperties>
</file>