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0c66bf640a71f3/Desktop/Excel_Case_Studies/CASE STUDY 4 — DATA CLEANING &amp; DASHBOARD BUILDING/"/>
    </mc:Choice>
  </mc:AlternateContent>
  <xr:revisionPtr revIDLastSave="94" documentId="8_{959E6277-A5EF-49AC-BB68-81A325B853C0}" xr6:coauthVersionLast="47" xr6:coauthVersionMax="47" xr10:uidLastSave="{E6435053-CF71-44FA-9F13-7FC811587A2A}"/>
  <bookViews>
    <workbookView xWindow="-108" yWindow="-108" windowWidth="23256" windowHeight="12456" xr2:uid="{C1DB85F5-16D1-4D11-A929-7FBF6657AF46}"/>
  </bookViews>
  <sheets>
    <sheet name="Case_Study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1" l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48" i="1"/>
  <c r="H76" i="1"/>
  <c r="H75" i="1"/>
  <c r="H74" i="1"/>
  <c r="E79" i="1"/>
  <c r="E78" i="1"/>
  <c r="E77" i="1"/>
  <c r="E76" i="1"/>
  <c r="E75" i="1"/>
  <c r="G74" i="1" a="1"/>
  <c r="G74" i="1" s="1"/>
  <c r="E74" i="1"/>
  <c r="D74" i="1" a="1"/>
  <c r="D74" i="1" s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48" i="1"/>
  <c r="A74" i="1" a="1"/>
  <c r="A74" i="1" s="1"/>
  <c r="B74" i="1" s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48" i="1"/>
  <c r="B75" i="1" l="1"/>
  <c r="B76" i="1"/>
  <c r="B7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<sst xmlns="http://schemas.openxmlformats.org/spreadsheetml/2006/main" count="351" uniqueCount="133">
  <si>
    <t xml:space="preserve">  INTERVIEWER'S NOTE</t>
  </si>
  <si>
    <t xml:space="preserve">  SCENARIO</t>
  </si>
  <si>
    <t>CASE STUDY 5 — DATA CLEANING &amp; DASHBOARD BUILDING</t>
  </si>
  <si>
    <t>Interviewer Perspective | Used for Data Analyst, BI Analyst, Operations roles at Google, Microsoft, Swiggy, Zomato | Difficulty: ★★★★★</t>
  </si>
  <si>
    <t xml:space="preserve">  This is the most REAL case study I give. At Google and Microsoft, 80% of a data analyst's time is spent cleaning data — not building dashboards. I intentionally put dirty data in this table: extra spaces, inconsistent date formats, mixed-case text, a duplicate row, a negative revenue entry. A great candidate finds ALL issues before writing a single formula. I call this the Detective Test. I have hired people who found 6 of 7 issues over people who immediately jumped to formulas and found 0.</t>
  </si>
  <si>
    <t xml:space="preserve">  You are a Data Analyst at FoodRush (a food delivery startup). The operations team exported customer order data from their CRM. The raw data is INTENTIONALLY DIRTY — it contains errors that are common in real exports. Your tasks: (1) Identify and document all data quality issues, (2) Clean the data using formulas, (3) Build summary analysis, (4) Describe what dashboard you would build from this data.</t>
  </si>
  <si>
    <t xml:space="preserve">  DATASET — Raw Customer Orders (INTENTIONALLY DIRTY — find all issues!)</t>
  </si>
  <si>
    <t>Order ID</t>
  </si>
  <si>
    <t>Customer Name</t>
  </si>
  <si>
    <t>City</t>
  </si>
  <si>
    <t>Order Date</t>
  </si>
  <si>
    <t>Revenue (₹)</t>
  </si>
  <si>
    <t>Category</t>
  </si>
  <si>
    <t>Delivery Days</t>
  </si>
  <si>
    <t>Status</t>
  </si>
  <si>
    <t>Platform</t>
  </si>
  <si>
    <t>Rating</t>
  </si>
  <si>
    <t>ORD001</t>
  </si>
  <si>
    <t xml:space="preserve">  Rahul Sharma</t>
  </si>
  <si>
    <t>Mumbai</t>
  </si>
  <si>
    <t>2024-01-15</t>
  </si>
  <si>
    <t>Food</t>
  </si>
  <si>
    <t>Delivered</t>
  </si>
  <si>
    <t>App</t>
  </si>
  <si>
    <t>ORD002</t>
  </si>
  <si>
    <t>priya singh</t>
  </si>
  <si>
    <t>Delhi</t>
  </si>
  <si>
    <t>15/01/2024</t>
  </si>
  <si>
    <t>Grocery</t>
  </si>
  <si>
    <t>Web</t>
  </si>
  <si>
    <t>ORD003</t>
  </si>
  <si>
    <t>AMIT KUMAR</t>
  </si>
  <si>
    <t>Pune</t>
  </si>
  <si>
    <t>2024-01-16</t>
  </si>
  <si>
    <t>ORD004</t>
  </si>
  <si>
    <t>Sunita Rao</t>
  </si>
  <si>
    <t>Bangalore</t>
  </si>
  <si>
    <t>Cancelled</t>
  </si>
  <si>
    <t>ORD005</t>
  </si>
  <si>
    <t>Vikram Patel</t>
  </si>
  <si>
    <t>Chennai</t>
  </si>
  <si>
    <t>2024-01-17</t>
  </si>
  <si>
    <t>ORD006</t>
  </si>
  <si>
    <t>neha  joshi</t>
  </si>
  <si>
    <t>Jan 17 2024</t>
  </si>
  <si>
    <t>Pharmacy</t>
  </si>
  <si>
    <t>ORD007</t>
  </si>
  <si>
    <t>Rohit Verma</t>
  </si>
  <si>
    <t>2024-01-18</t>
  </si>
  <si>
    <t>Electronics</t>
  </si>
  <si>
    <t>Pending</t>
  </si>
  <si>
    <t>ORD008</t>
  </si>
  <si>
    <t xml:space="preserve">  Kavya Nair  </t>
  </si>
  <si>
    <t>ORD009</t>
  </si>
  <si>
    <t>Arjun Kapoor</t>
  </si>
  <si>
    <t>2024-01-19</t>
  </si>
  <si>
    <t>ORD010</t>
  </si>
  <si>
    <t>Divya reddy</t>
  </si>
  <si>
    <t>ORD012</t>
  </si>
  <si>
    <t>Manish Tiwari</t>
  </si>
  <si>
    <t>2024-01-20</t>
  </si>
  <si>
    <t>ORD013</t>
  </si>
  <si>
    <t>Pooja Agarwal</t>
  </si>
  <si>
    <t>Hyderabad</t>
  </si>
  <si>
    <t>ORD014</t>
  </si>
  <si>
    <t>Kiran Desai</t>
  </si>
  <si>
    <t>2024-01-21</t>
  </si>
  <si>
    <t>ORD015</t>
  </si>
  <si>
    <t>Ravi Choudhary</t>
  </si>
  <si>
    <t>21-01-2024</t>
  </si>
  <si>
    <t>ORD016</t>
  </si>
  <si>
    <t>Ananya Iyer</t>
  </si>
  <si>
    <t>2024-01-22</t>
  </si>
  <si>
    <t>ORD017</t>
  </si>
  <si>
    <t>Deepak malhotra</t>
  </si>
  <si>
    <t>ORD018</t>
  </si>
  <si>
    <t>Sonia Bhatt</t>
  </si>
  <si>
    <t>2024-01-23</t>
  </si>
  <si>
    <t>ORD019</t>
  </si>
  <si>
    <t>Arun Saxena</t>
  </si>
  <si>
    <t>ORD020</t>
  </si>
  <si>
    <t>Tanya Singh</t>
  </si>
  <si>
    <t>2024-01-24</t>
  </si>
  <si>
    <t xml:space="preserve">  DATA QUALITY ISSUES LOG — Find and document all issues (Interviewer expects at least 7)</t>
  </si>
  <si>
    <t>Issue #</t>
  </si>
  <si>
    <t>Row</t>
  </si>
  <si>
    <t>Column</t>
  </si>
  <si>
    <t>Issue Type</t>
  </si>
  <si>
    <t>What's Wrong</t>
  </si>
  <si>
    <t>How to Fix in Excel</t>
  </si>
  <si>
    <t>Row 11</t>
  </si>
  <si>
    <t>Leading Spaces</t>
  </si>
  <si>
    <t>'  Rahul Sharma' has 2 leading spaces</t>
  </si>
  <si>
    <t>Row 12</t>
  </si>
  <si>
    <t>Inconsistent Case</t>
  </si>
  <si>
    <t>'priya singh' — lowercase while rest are Proper Case</t>
  </si>
  <si>
    <t>Row 13</t>
  </si>
  <si>
    <t>ALL CAPS</t>
  </si>
  <si>
    <t>'AMIT KUMAR' — all uppercase inconsistency</t>
  </si>
  <si>
    <t>Wrong Date Format</t>
  </si>
  <si>
    <t>'15/01/2024' — DD/MM/YYYY instead of YYYY-MM-DD</t>
  </si>
  <si>
    <t>Row 14</t>
  </si>
  <si>
    <t>Revenue</t>
  </si>
  <si>
    <t>Negative Revenue</t>
  </si>
  <si>
    <t>Revenue = -200 — logically impossible for an order</t>
  </si>
  <si>
    <t>Flag with =IF(E14&lt;0,'ERROR: Negative Revenue',E14)</t>
  </si>
  <si>
    <t>Row 21</t>
  </si>
  <si>
    <t>Duplicate Row</t>
  </si>
  <si>
    <t>ORD002 appears twice — exact duplicate of Row 12</t>
  </si>
  <si>
    <t>Use Data &gt; Remove Duplicates or COUNTIF to flag: =IF(COUNTIF(A$11:A11,A21)&gt;1,'DUPLICATE','OK')</t>
  </si>
  <si>
    <t>Row 23</t>
  </si>
  <si>
    <t>Missing Value</t>
  </si>
  <si>
    <t>Revenue is blank/NULL for ORD013</t>
  </si>
  <si>
    <t>Row 25</t>
  </si>
  <si>
    <t>'21-01-2024' uses dashes instead of standard format</t>
  </si>
  <si>
    <t>Row 19</t>
  </si>
  <si>
    <t>Potential Outlier</t>
  </si>
  <si>
    <t>Revenue ₹12,000 vs average ~₹900 — possible data entry error</t>
  </si>
  <si>
    <t>Use =ABS(E19-AVERAGE(E11:E30))/STDEV(E11:E30) — Z-score &gt;3 = outlier</t>
  </si>
  <si>
    <t>Multiple</t>
  </si>
  <si>
    <t>Missing Ratings</t>
  </si>
  <si>
    <t>Several 'Pending' and 'Cancelled' orders have no rating — expected</t>
  </si>
  <si>
    <t>Now, Cleaning the Table</t>
  </si>
  <si>
    <t>clear_order_date</t>
  </si>
  <si>
    <t>Total Revenue(₹)</t>
  </si>
  <si>
    <t>Clean_revenue (₹)</t>
  </si>
  <si>
    <t>Summary Table:</t>
  </si>
  <si>
    <t>A. Total Revenue by Category</t>
  </si>
  <si>
    <t>B. Average Delivery Days by City</t>
  </si>
  <si>
    <t>Avg Delivery Days</t>
  </si>
  <si>
    <t>C. % of Orders by Status</t>
  </si>
  <si>
    <t>% of Orders</t>
  </si>
  <si>
    <t>Duplicate_flag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</si>
</sst>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1" x14ac:knownFonts="1">
    <font>
      <sz val="11"/>
      <color theme="1"/>
      <name val="Calibri"/>
      <family val="2"/>
      <scheme val="minor"/>
    </font>
    <font>
      <b/>
      <sz val="16"/>
      <color rgb="FFF5A623"/>
      <name val="Calibri"/>
      <family val="2"/>
    </font>
    <font>
      <i/>
      <sz val="9"/>
      <color rgb="FFCCDDEE"/>
      <name val="Calibri"/>
      <family val="2"/>
    </font>
    <font>
      <b/>
      <sz val="10"/>
      <color rgb="FFF5A623"/>
      <name val="Calibri"/>
      <family val="2"/>
    </font>
    <font>
      <i/>
      <sz val="9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1A1A2E"/>
      <name val="Calibri"/>
      <family val="2"/>
    </font>
    <font>
      <b/>
      <sz val="9"/>
      <color rgb="FFFFFFFF"/>
      <name val="Calibri"/>
      <family val="2"/>
    </font>
    <font>
      <sz val="9"/>
      <color rgb="FF1A1A2E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546E7A"/>
      </patternFill>
    </fill>
    <fill>
      <patternFill patternType="solid">
        <fgColor rgb="FF16213E"/>
      </patternFill>
    </fill>
    <fill>
      <patternFill patternType="solid">
        <fgColor rgb="FFF8F9FA"/>
      </patternFill>
    </fill>
    <fill>
      <patternFill patternType="solid">
        <fgColor rgb="FFFFFFFF"/>
      </patternFill>
    </fill>
    <fill>
      <patternFill patternType="solid">
        <fgColor rgb="FFE94560"/>
      </patternFill>
    </fill>
    <fill>
      <patternFill patternType="solid">
        <fgColor rgb="FFFFE0E0"/>
      </patternFill>
    </fill>
    <fill>
      <patternFill patternType="solid">
        <fgColor rgb="FFE67E22"/>
      </patternFill>
    </fill>
  </fills>
  <borders count="14">
    <border>
      <left/>
      <right/>
      <top/>
      <bottom/>
      <diagonal/>
    </border>
    <border>
      <left style="thick">
        <color rgb="FF1A1A2E"/>
      </left>
      <right style="thin">
        <color rgb="FFB0BEC5"/>
      </right>
      <top style="thick">
        <color rgb="FF1A1A2E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ck">
        <color rgb="FF1A1A2E"/>
      </top>
      <bottom style="thin">
        <color rgb="FFB0BEC5"/>
      </bottom>
      <diagonal/>
    </border>
    <border>
      <left style="thin">
        <color rgb="FFB0BEC5"/>
      </left>
      <right style="thick">
        <color rgb="FF1A1A2E"/>
      </right>
      <top style="thick">
        <color rgb="FF1A1A2E"/>
      </top>
      <bottom style="thin">
        <color rgb="FFB0BEC5"/>
      </bottom>
      <diagonal/>
    </border>
    <border>
      <left style="thick">
        <color rgb="FF1A1A2E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ck">
        <color rgb="FF1A1A2E"/>
      </right>
      <top style="thin">
        <color rgb="FFB0BEC5"/>
      </top>
      <bottom style="thin">
        <color rgb="FFB0BEC5"/>
      </bottom>
      <diagonal/>
    </border>
    <border>
      <left style="thick">
        <color rgb="FF1A1A2E"/>
      </left>
      <right style="thin">
        <color rgb="FFB0BEC5"/>
      </right>
      <top style="thin">
        <color rgb="FFB0BEC5"/>
      </top>
      <bottom style="thick">
        <color rgb="FF1A1A2E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ck">
        <color rgb="FF1A1A2E"/>
      </bottom>
      <diagonal/>
    </border>
    <border>
      <left style="thin">
        <color rgb="FFB0BEC5"/>
      </left>
      <right style="thick">
        <color rgb="FF1A1A2E"/>
      </right>
      <top style="thin">
        <color rgb="FFB0BEC5"/>
      </top>
      <bottom style="thick">
        <color rgb="FF1A1A2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EC5"/>
      </left>
      <right/>
      <top style="thick">
        <color rgb="FF1A1A2E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ck">
        <color rgb="FF1A1A2E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right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 wrapText="1" indent="2"/>
    </xf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3" fillId="2" borderId="0" xfId="0" applyFont="1" applyFill="1" applyAlignment="1">
      <alignment horizontal="left" vertical="center" indent="2"/>
    </xf>
    <xf numFmtId="0" fontId="4" fillId="4" borderId="0" xfId="0" applyFont="1" applyFill="1" applyAlignment="1">
      <alignment horizontal="left" vertical="center" wrapText="1" indent="2"/>
    </xf>
    <xf numFmtId="0" fontId="5" fillId="5" borderId="0" xfId="0" applyFont="1" applyFill="1" applyAlignment="1">
      <alignment horizontal="left" vertical="center" indent="2"/>
    </xf>
    <xf numFmtId="0" fontId="5" fillId="8" borderId="1" xfId="0" applyFont="1" applyFill="1" applyBorder="1" applyAlignment="1">
      <alignment horizontal="left" vertical="center" indent="2"/>
    </xf>
    <xf numFmtId="0" fontId="7" fillId="8" borderId="4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right" vertical="center"/>
    </xf>
    <xf numFmtId="0" fontId="8" fillId="9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right" vertical="center"/>
    </xf>
    <xf numFmtId="0" fontId="8" fillId="9" borderId="5" xfId="0" applyFont="1" applyFill="1" applyBorder="1" applyAlignment="1">
      <alignment horizontal="right" vertical="center"/>
    </xf>
    <xf numFmtId="0" fontId="8" fillId="9" borderId="4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left" vertical="center"/>
    </xf>
    <xf numFmtId="0" fontId="8" fillId="7" borderId="9" xfId="0" applyFont="1" applyFill="1" applyBorder="1" applyAlignment="1">
      <alignment horizontal="right" vertical="center"/>
    </xf>
    <xf numFmtId="0" fontId="5" fillId="10" borderId="0" xfId="0" applyFont="1" applyFill="1" applyAlignment="1">
      <alignment horizontal="left" vertical="center" indent="2"/>
    </xf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left" vertical="center" wrapText="1"/>
    </xf>
    <xf numFmtId="0" fontId="10" fillId="0" borderId="0" xfId="0" applyFont="1"/>
    <xf numFmtId="165" fontId="8" fillId="6" borderId="5" xfId="0" applyNumberFormat="1" applyFont="1" applyFill="1" applyBorder="1" applyAlignment="1">
      <alignment horizontal="center" vertical="center"/>
    </xf>
    <xf numFmtId="0" fontId="0" fillId="0" borderId="10" xfId="0" applyBorder="1"/>
    <xf numFmtId="0" fontId="10" fillId="0" borderId="10" xfId="0" applyFont="1" applyBorder="1"/>
    <xf numFmtId="0" fontId="7" fillId="10" borderId="11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left" vertical="center" wrapText="1"/>
    </xf>
    <xf numFmtId="0" fontId="8" fillId="6" borderId="12" xfId="0" applyFont="1" applyFill="1" applyBorder="1" applyAlignment="1">
      <alignment horizontal="left" vertical="center" wrapText="1"/>
    </xf>
    <xf numFmtId="0" fontId="8" fillId="6" borderId="13" xfId="0" applyFont="1" applyFill="1" applyBorder="1" applyAlignment="1">
      <alignment horizontal="left" vertical="center" wrapText="1"/>
    </xf>
    <xf numFmtId="0" fontId="10" fillId="0" borderId="10" xfId="0" applyFont="1" applyFill="1" applyBorder="1"/>
    <xf numFmtId="2" fontId="0" fillId="0" borderId="10" xfId="0" applyNumberFormat="1" applyBorder="1"/>
    <xf numFmtId="1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98DD-5FF0-4454-BC5C-FE8DA61F7953}">
  <dimension ref="A1:M79"/>
  <sheetViews>
    <sheetView tabSelected="1" topLeftCell="C45" zoomScaleNormal="100" workbookViewId="0">
      <selection activeCell="K56" sqref="K56"/>
    </sheetView>
  </sheetViews>
  <sheetFormatPr defaultRowHeight="14.4" x14ac:dyDescent="0.3"/>
  <cols>
    <col min="1" max="1" width="23.88671875" bestFit="1" customWidth="1"/>
    <col min="2" max="6" width="20" customWidth="1"/>
    <col min="7" max="7" width="21.33203125" bestFit="1" customWidth="1"/>
    <col min="8" max="11" width="20" customWidth="1"/>
    <col min="12" max="12" width="11.88671875" customWidth="1"/>
    <col min="13" max="13" width="10.6640625" bestFit="1" customWidth="1"/>
  </cols>
  <sheetData>
    <row r="1" spans="1:12" ht="34.200000000000003" customHeight="1" x14ac:dyDescent="0.3">
      <c r="A1" s="14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">
      <c r="A2" s="15" t="s">
        <v>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3">
      <c r="A3" s="16" t="s">
        <v>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35.4" customHeight="1" x14ac:dyDescent="0.3">
      <c r="A4" s="17" t="s">
        <v>4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3">
      <c r="A6" s="18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14.4" customHeight="1" x14ac:dyDescent="0.3">
      <c r="A7" s="10" t="s">
        <v>5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spans="1:12" ht="15" thickBot="1" x14ac:dyDescent="0.3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ht="15" thickTop="1" x14ac:dyDescent="0.3">
      <c r="A9" s="19" t="s">
        <v>6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</row>
    <row r="10" spans="1:12" x14ac:dyDescent="0.3">
      <c r="A10" s="20" t="s">
        <v>7</v>
      </c>
      <c r="B10" s="21" t="s">
        <v>8</v>
      </c>
      <c r="C10" s="21" t="s">
        <v>9</v>
      </c>
      <c r="D10" s="21" t="s">
        <v>10</v>
      </c>
      <c r="E10" s="21"/>
      <c r="F10" s="21" t="s">
        <v>11</v>
      </c>
      <c r="G10" s="21"/>
      <c r="H10" s="21" t="s">
        <v>12</v>
      </c>
      <c r="I10" s="21" t="s">
        <v>13</v>
      </c>
      <c r="J10" s="21" t="s">
        <v>14</v>
      </c>
      <c r="K10" s="21" t="s">
        <v>15</v>
      </c>
      <c r="L10" s="22" t="s">
        <v>16</v>
      </c>
    </row>
    <row r="11" spans="1:12" x14ac:dyDescent="0.3">
      <c r="A11" s="1" t="s">
        <v>17</v>
      </c>
      <c r="B11" s="23" t="s">
        <v>18</v>
      </c>
      <c r="C11" s="2" t="s">
        <v>19</v>
      </c>
      <c r="D11" s="2" t="s">
        <v>20</v>
      </c>
      <c r="E11" s="2"/>
      <c r="F11" s="3">
        <v>850</v>
      </c>
      <c r="G11" s="3"/>
      <c r="H11" s="24" t="s">
        <v>21</v>
      </c>
      <c r="I11" s="3">
        <v>2</v>
      </c>
      <c r="J11" s="2" t="s">
        <v>22</v>
      </c>
      <c r="K11" s="2" t="s">
        <v>23</v>
      </c>
      <c r="L11" s="25">
        <v>4.5</v>
      </c>
    </row>
    <row r="12" spans="1:12" x14ac:dyDescent="0.3">
      <c r="A12" s="4" t="s">
        <v>24</v>
      </c>
      <c r="B12" s="23" t="s">
        <v>25</v>
      </c>
      <c r="C12" s="5" t="s">
        <v>26</v>
      </c>
      <c r="D12" s="26" t="s">
        <v>27</v>
      </c>
      <c r="E12" s="26"/>
      <c r="F12" s="6">
        <v>1200</v>
      </c>
      <c r="G12" s="6"/>
      <c r="H12" s="27" t="s">
        <v>28</v>
      </c>
      <c r="I12" s="6">
        <v>3</v>
      </c>
      <c r="J12" s="5" t="s">
        <v>22</v>
      </c>
      <c r="K12" s="5" t="s">
        <v>29</v>
      </c>
      <c r="L12" s="28">
        <v>3.8</v>
      </c>
    </row>
    <row r="13" spans="1:12" x14ac:dyDescent="0.3">
      <c r="A13" s="1" t="s">
        <v>30</v>
      </c>
      <c r="B13" s="24" t="s">
        <v>31</v>
      </c>
      <c r="C13" s="2" t="s">
        <v>32</v>
      </c>
      <c r="D13" s="2" t="s">
        <v>33</v>
      </c>
      <c r="E13" s="2"/>
      <c r="F13" s="3">
        <v>650</v>
      </c>
      <c r="G13" s="3"/>
      <c r="H13" s="24" t="s">
        <v>21</v>
      </c>
      <c r="I13" s="3">
        <v>1</v>
      </c>
      <c r="J13" s="2" t="s">
        <v>22</v>
      </c>
      <c r="K13" s="2" t="s">
        <v>23</v>
      </c>
      <c r="L13" s="25">
        <v>5</v>
      </c>
    </row>
    <row r="14" spans="1:12" x14ac:dyDescent="0.3">
      <c r="A14" s="4" t="s">
        <v>34</v>
      </c>
      <c r="B14" s="27" t="s">
        <v>35</v>
      </c>
      <c r="C14" s="5" t="s">
        <v>36</v>
      </c>
      <c r="D14" s="5" t="s">
        <v>33</v>
      </c>
      <c r="E14" s="5"/>
      <c r="F14" s="29">
        <v>-200</v>
      </c>
      <c r="G14" s="29"/>
      <c r="H14" s="27" t="s">
        <v>28</v>
      </c>
      <c r="I14" s="6">
        <v>2</v>
      </c>
      <c r="J14" s="5" t="s">
        <v>37</v>
      </c>
      <c r="K14" s="5" t="s">
        <v>23</v>
      </c>
      <c r="L14" s="28"/>
    </row>
    <row r="15" spans="1:12" x14ac:dyDescent="0.3">
      <c r="A15" s="1" t="s">
        <v>38</v>
      </c>
      <c r="B15" s="24" t="s">
        <v>39</v>
      </c>
      <c r="C15" s="2" t="s">
        <v>40</v>
      </c>
      <c r="D15" s="2" t="s">
        <v>41</v>
      </c>
      <c r="E15" s="2"/>
      <c r="F15" s="3">
        <v>920</v>
      </c>
      <c r="G15" s="3"/>
      <c r="H15" s="24" t="s">
        <v>21</v>
      </c>
      <c r="I15" s="3">
        <v>2</v>
      </c>
      <c r="J15" s="2" t="s">
        <v>22</v>
      </c>
      <c r="K15" s="2" t="s">
        <v>23</v>
      </c>
      <c r="L15" s="25">
        <v>4.2</v>
      </c>
    </row>
    <row r="16" spans="1:12" x14ac:dyDescent="0.3">
      <c r="A16" s="4" t="s">
        <v>42</v>
      </c>
      <c r="B16" s="23" t="s">
        <v>43</v>
      </c>
      <c r="C16" s="5" t="s">
        <v>19</v>
      </c>
      <c r="D16" s="5" t="s">
        <v>44</v>
      </c>
      <c r="E16" s="5"/>
      <c r="F16" s="6">
        <v>780</v>
      </c>
      <c r="G16" s="6"/>
      <c r="H16" s="27" t="s">
        <v>45</v>
      </c>
      <c r="I16" s="6">
        <v>1</v>
      </c>
      <c r="J16" s="5" t="s">
        <v>22</v>
      </c>
      <c r="K16" s="5" t="s">
        <v>29</v>
      </c>
      <c r="L16" s="28">
        <v>4.7</v>
      </c>
    </row>
    <row r="17" spans="1:12" x14ac:dyDescent="0.3">
      <c r="A17" s="1" t="s">
        <v>46</v>
      </c>
      <c r="B17" s="24" t="s">
        <v>47</v>
      </c>
      <c r="C17" s="2" t="s">
        <v>26</v>
      </c>
      <c r="D17" s="2" t="s">
        <v>48</v>
      </c>
      <c r="E17" s="2"/>
      <c r="F17" s="3">
        <v>1500</v>
      </c>
      <c r="G17" s="3"/>
      <c r="H17" s="24" t="s">
        <v>49</v>
      </c>
      <c r="I17" s="3">
        <v>5</v>
      </c>
      <c r="J17" s="2" t="s">
        <v>50</v>
      </c>
      <c r="K17" s="2" t="s">
        <v>23</v>
      </c>
      <c r="L17" s="25"/>
    </row>
    <row r="18" spans="1:12" x14ac:dyDescent="0.3">
      <c r="A18" s="4" t="s">
        <v>51</v>
      </c>
      <c r="B18" s="27" t="s">
        <v>52</v>
      </c>
      <c r="C18" s="5" t="s">
        <v>32</v>
      </c>
      <c r="D18" s="5" t="s">
        <v>48</v>
      </c>
      <c r="E18" s="5"/>
      <c r="F18" s="6">
        <v>430</v>
      </c>
      <c r="G18" s="6"/>
      <c r="H18" s="27" t="s">
        <v>21</v>
      </c>
      <c r="I18" s="6">
        <v>1</v>
      </c>
      <c r="J18" s="5" t="s">
        <v>22</v>
      </c>
      <c r="K18" s="5" t="s">
        <v>23</v>
      </c>
      <c r="L18" s="28">
        <v>3.5</v>
      </c>
    </row>
    <row r="19" spans="1:12" x14ac:dyDescent="0.3">
      <c r="A19" s="1" t="s">
        <v>53</v>
      </c>
      <c r="B19" s="24" t="s">
        <v>54</v>
      </c>
      <c r="C19" s="2" t="s">
        <v>36</v>
      </c>
      <c r="D19" s="2" t="s">
        <v>55</v>
      </c>
      <c r="E19" s="2"/>
      <c r="F19" s="3">
        <v>2100</v>
      </c>
      <c r="G19" s="3"/>
      <c r="H19" s="24" t="s">
        <v>49</v>
      </c>
      <c r="I19" s="3">
        <v>4</v>
      </c>
      <c r="J19" s="2" t="s">
        <v>22</v>
      </c>
      <c r="K19" s="2" t="s">
        <v>29</v>
      </c>
      <c r="L19" s="25">
        <v>4.8</v>
      </c>
    </row>
    <row r="20" spans="1:12" x14ac:dyDescent="0.3">
      <c r="A20" s="4" t="s">
        <v>56</v>
      </c>
      <c r="B20" s="27" t="s">
        <v>57</v>
      </c>
      <c r="C20" s="5" t="s">
        <v>19</v>
      </c>
      <c r="D20" s="5" t="s">
        <v>55</v>
      </c>
      <c r="E20" s="5"/>
      <c r="F20" s="6">
        <v>670</v>
      </c>
      <c r="G20" s="6"/>
      <c r="H20" s="27" t="s">
        <v>28</v>
      </c>
      <c r="I20" s="6">
        <v>2</v>
      </c>
      <c r="J20" s="5" t="s">
        <v>22</v>
      </c>
      <c r="K20" s="5" t="s">
        <v>23</v>
      </c>
      <c r="L20" s="28">
        <v>4.0999999999999996</v>
      </c>
    </row>
    <row r="21" spans="1:12" x14ac:dyDescent="0.3">
      <c r="A21" s="30" t="s">
        <v>24</v>
      </c>
      <c r="B21" s="23" t="s">
        <v>25</v>
      </c>
      <c r="C21" s="2" t="s">
        <v>26</v>
      </c>
      <c r="D21" s="2" t="s">
        <v>27</v>
      </c>
      <c r="E21" s="2"/>
      <c r="F21" s="3">
        <v>1200</v>
      </c>
      <c r="G21" s="3"/>
      <c r="H21" s="24" t="s">
        <v>28</v>
      </c>
      <c r="I21" s="3">
        <v>3</v>
      </c>
      <c r="J21" s="2" t="s">
        <v>22</v>
      </c>
      <c r="K21" s="2" t="s">
        <v>29</v>
      </c>
      <c r="L21" s="25">
        <v>3.8</v>
      </c>
    </row>
    <row r="22" spans="1:12" x14ac:dyDescent="0.3">
      <c r="A22" s="4" t="s">
        <v>58</v>
      </c>
      <c r="B22" s="27" t="s">
        <v>59</v>
      </c>
      <c r="C22" s="5" t="s">
        <v>40</v>
      </c>
      <c r="D22" s="5" t="s">
        <v>60</v>
      </c>
      <c r="E22" s="5"/>
      <c r="F22" s="6">
        <v>890</v>
      </c>
      <c r="G22" s="6"/>
      <c r="H22" s="27" t="s">
        <v>21</v>
      </c>
      <c r="I22" s="6">
        <v>2</v>
      </c>
      <c r="J22" s="5" t="s">
        <v>22</v>
      </c>
      <c r="K22" s="5" t="s">
        <v>23</v>
      </c>
      <c r="L22" s="28">
        <v>4.4000000000000004</v>
      </c>
    </row>
    <row r="23" spans="1:12" x14ac:dyDescent="0.3">
      <c r="A23" s="1" t="s">
        <v>61</v>
      </c>
      <c r="B23" s="24" t="s">
        <v>62</v>
      </c>
      <c r="C23" s="2" t="s">
        <v>63</v>
      </c>
      <c r="D23" s="2" t="s">
        <v>60</v>
      </c>
      <c r="E23" s="2"/>
      <c r="F23" s="29"/>
      <c r="G23" s="29"/>
      <c r="H23" s="24" t="s">
        <v>45</v>
      </c>
      <c r="I23" s="3">
        <v>1</v>
      </c>
      <c r="J23" s="2" t="s">
        <v>22</v>
      </c>
      <c r="K23" s="2" t="s">
        <v>29</v>
      </c>
      <c r="L23" s="25">
        <v>4.5999999999999996</v>
      </c>
    </row>
    <row r="24" spans="1:12" x14ac:dyDescent="0.3">
      <c r="A24" s="4" t="s">
        <v>64</v>
      </c>
      <c r="B24" s="27" t="s">
        <v>65</v>
      </c>
      <c r="C24" s="5" t="s">
        <v>19</v>
      </c>
      <c r="D24" s="5" t="s">
        <v>66</v>
      </c>
      <c r="E24" s="5"/>
      <c r="F24" s="6">
        <v>1100</v>
      </c>
      <c r="G24" s="6"/>
      <c r="H24" s="27" t="s">
        <v>21</v>
      </c>
      <c r="I24" s="6">
        <v>3</v>
      </c>
      <c r="J24" s="5" t="s">
        <v>22</v>
      </c>
      <c r="K24" s="5" t="s">
        <v>23</v>
      </c>
      <c r="L24" s="28">
        <v>4.3</v>
      </c>
    </row>
    <row r="25" spans="1:12" x14ac:dyDescent="0.3">
      <c r="A25" s="1" t="s">
        <v>67</v>
      </c>
      <c r="B25" s="24" t="s">
        <v>68</v>
      </c>
      <c r="C25" s="2" t="s">
        <v>26</v>
      </c>
      <c r="D25" s="26" t="s">
        <v>69</v>
      </c>
      <c r="E25" s="26"/>
      <c r="F25" s="3">
        <v>750</v>
      </c>
      <c r="G25" s="3"/>
      <c r="H25" s="24" t="s">
        <v>28</v>
      </c>
      <c r="I25" s="3">
        <v>2</v>
      </c>
      <c r="J25" s="2" t="s">
        <v>22</v>
      </c>
      <c r="K25" s="2" t="s">
        <v>29</v>
      </c>
      <c r="L25" s="25"/>
    </row>
    <row r="26" spans="1:12" x14ac:dyDescent="0.3">
      <c r="A26" s="4" t="s">
        <v>70</v>
      </c>
      <c r="B26" s="27" t="s">
        <v>71</v>
      </c>
      <c r="C26" s="5" t="s">
        <v>36</v>
      </c>
      <c r="D26" s="5" t="s">
        <v>72</v>
      </c>
      <c r="E26" s="5"/>
      <c r="F26" s="6">
        <v>1800</v>
      </c>
      <c r="G26" s="6"/>
      <c r="H26" s="27" t="s">
        <v>49</v>
      </c>
      <c r="I26" s="6">
        <v>6</v>
      </c>
      <c r="J26" s="5" t="s">
        <v>50</v>
      </c>
      <c r="K26" s="5" t="s">
        <v>23</v>
      </c>
      <c r="L26" s="28"/>
    </row>
    <row r="27" spans="1:12" x14ac:dyDescent="0.3">
      <c r="A27" s="1" t="s">
        <v>73</v>
      </c>
      <c r="B27" s="23" t="s">
        <v>74</v>
      </c>
      <c r="C27" s="2" t="s">
        <v>40</v>
      </c>
      <c r="D27" s="2" t="s">
        <v>72</v>
      </c>
      <c r="E27" s="2"/>
      <c r="F27" s="3">
        <v>560</v>
      </c>
      <c r="G27" s="3"/>
      <c r="H27" s="24" t="s">
        <v>21</v>
      </c>
      <c r="I27" s="3">
        <v>1</v>
      </c>
      <c r="J27" s="2" t="s">
        <v>22</v>
      </c>
      <c r="K27" s="2" t="s">
        <v>23</v>
      </c>
      <c r="L27" s="25">
        <v>3.9</v>
      </c>
    </row>
    <row r="28" spans="1:12" x14ac:dyDescent="0.3">
      <c r="A28" s="4" t="s">
        <v>75</v>
      </c>
      <c r="B28" s="27" t="s">
        <v>76</v>
      </c>
      <c r="C28" s="5" t="s">
        <v>32</v>
      </c>
      <c r="D28" s="5" t="s">
        <v>77</v>
      </c>
      <c r="E28" s="5"/>
      <c r="F28" s="6">
        <v>940</v>
      </c>
      <c r="G28" s="6"/>
      <c r="H28" s="27" t="s">
        <v>45</v>
      </c>
      <c r="I28" s="6">
        <v>2</v>
      </c>
      <c r="J28" s="5" t="s">
        <v>22</v>
      </c>
      <c r="K28" s="5" t="s">
        <v>29</v>
      </c>
      <c r="L28" s="28">
        <v>4.5</v>
      </c>
    </row>
    <row r="29" spans="1:12" x14ac:dyDescent="0.3">
      <c r="A29" s="1" t="s">
        <v>78</v>
      </c>
      <c r="B29" s="24" t="s">
        <v>79</v>
      </c>
      <c r="C29" s="2" t="s">
        <v>19</v>
      </c>
      <c r="D29" s="2" t="s">
        <v>77</v>
      </c>
      <c r="E29" s="2"/>
      <c r="F29" s="3">
        <v>12000</v>
      </c>
      <c r="G29" s="3"/>
      <c r="H29" s="24" t="s">
        <v>49</v>
      </c>
      <c r="I29" s="3">
        <v>7</v>
      </c>
      <c r="J29" s="2" t="s">
        <v>22</v>
      </c>
      <c r="K29" s="2" t="s">
        <v>23</v>
      </c>
      <c r="L29" s="25">
        <v>4.9000000000000004</v>
      </c>
    </row>
    <row r="30" spans="1:12" ht="15" thickBot="1" x14ac:dyDescent="0.35">
      <c r="A30" s="7" t="s">
        <v>80</v>
      </c>
      <c r="B30" s="31" t="s">
        <v>81</v>
      </c>
      <c r="C30" s="8" t="s">
        <v>63</v>
      </c>
      <c r="D30" s="8" t="s">
        <v>82</v>
      </c>
      <c r="E30" s="8"/>
      <c r="F30" s="9">
        <v>830</v>
      </c>
      <c r="G30" s="9"/>
      <c r="H30" s="31" t="s">
        <v>21</v>
      </c>
      <c r="I30" s="9">
        <v>2</v>
      </c>
      <c r="J30" s="8" t="s">
        <v>22</v>
      </c>
      <c r="K30" s="8" t="s">
        <v>23</v>
      </c>
      <c r="L30" s="32">
        <v>4.2</v>
      </c>
    </row>
    <row r="31" spans="1:12" ht="15" thickTop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ht="15" thickBot="1" x14ac:dyDescent="0.35">
      <c r="A32" s="33" t="s">
        <v>83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3" ht="15" thickTop="1" x14ac:dyDescent="0.3">
      <c r="A33" s="34" t="s">
        <v>84</v>
      </c>
      <c r="B33" s="35" t="s">
        <v>85</v>
      </c>
      <c r="C33" s="35" t="s">
        <v>86</v>
      </c>
      <c r="D33" s="35" t="s">
        <v>87</v>
      </c>
      <c r="E33" s="35"/>
      <c r="F33" s="35" t="s">
        <v>88</v>
      </c>
      <c r="G33" s="50"/>
      <c r="H33" s="36" t="s">
        <v>89</v>
      </c>
    </row>
    <row r="34" spans="1:13" ht="24" x14ac:dyDescent="0.3">
      <c r="A34" s="37">
        <v>1</v>
      </c>
      <c r="B34" s="38" t="s">
        <v>90</v>
      </c>
      <c r="C34" s="38" t="s">
        <v>8</v>
      </c>
      <c r="D34" s="38" t="s">
        <v>91</v>
      </c>
      <c r="E34" s="38"/>
      <c r="F34" s="38" t="s">
        <v>92</v>
      </c>
      <c r="G34" s="51"/>
      <c r="H34" s="39"/>
    </row>
    <row r="35" spans="1:13" ht="24" x14ac:dyDescent="0.3">
      <c r="A35" s="40">
        <v>2</v>
      </c>
      <c r="B35" s="41" t="s">
        <v>93</v>
      </c>
      <c r="C35" s="41" t="s">
        <v>8</v>
      </c>
      <c r="D35" s="41" t="s">
        <v>94</v>
      </c>
      <c r="E35" s="41"/>
      <c r="F35" s="41" t="s">
        <v>95</v>
      </c>
      <c r="G35" s="52"/>
      <c r="H35" s="42"/>
    </row>
    <row r="36" spans="1:13" ht="24" x14ac:dyDescent="0.3">
      <c r="A36" s="37">
        <v>3</v>
      </c>
      <c r="B36" s="38" t="s">
        <v>96</v>
      </c>
      <c r="C36" s="38" t="s">
        <v>8</v>
      </c>
      <c r="D36" s="38" t="s">
        <v>97</v>
      </c>
      <c r="E36" s="38"/>
      <c r="F36" s="38" t="s">
        <v>98</v>
      </c>
      <c r="G36" s="51"/>
      <c r="H36" s="39"/>
    </row>
    <row r="37" spans="1:13" ht="36" x14ac:dyDescent="0.3">
      <c r="A37" s="40">
        <v>4</v>
      </c>
      <c r="B37" s="41" t="s">
        <v>93</v>
      </c>
      <c r="C37" s="41" t="s">
        <v>10</v>
      </c>
      <c r="D37" s="41" t="s">
        <v>99</v>
      </c>
      <c r="E37" s="41"/>
      <c r="F37" s="41" t="s">
        <v>100</v>
      </c>
      <c r="G37" s="52"/>
      <c r="H37" s="42"/>
    </row>
    <row r="38" spans="1:13" ht="24" x14ac:dyDescent="0.3">
      <c r="A38" s="37">
        <v>5</v>
      </c>
      <c r="B38" s="38" t="s">
        <v>101</v>
      </c>
      <c r="C38" s="38" t="s">
        <v>102</v>
      </c>
      <c r="D38" s="38" t="s">
        <v>103</v>
      </c>
      <c r="E38" s="38"/>
      <c r="F38" s="38" t="s">
        <v>104</v>
      </c>
      <c r="G38" s="51"/>
      <c r="H38" s="39" t="s">
        <v>105</v>
      </c>
    </row>
    <row r="39" spans="1:13" ht="60" x14ac:dyDescent="0.3">
      <c r="A39" s="40">
        <v>6</v>
      </c>
      <c r="B39" s="41" t="s">
        <v>106</v>
      </c>
      <c r="C39" s="41" t="s">
        <v>7</v>
      </c>
      <c r="D39" s="41" t="s">
        <v>107</v>
      </c>
      <c r="E39" s="41"/>
      <c r="F39" s="41" t="s">
        <v>108</v>
      </c>
      <c r="G39" s="52"/>
      <c r="H39" s="42" t="s">
        <v>109</v>
      </c>
    </row>
    <row r="40" spans="1:13" ht="24" x14ac:dyDescent="0.3">
      <c r="A40" s="37">
        <v>7</v>
      </c>
      <c r="B40" s="38" t="s">
        <v>110</v>
      </c>
      <c r="C40" s="38" t="s">
        <v>102</v>
      </c>
      <c r="D40" s="38" t="s">
        <v>111</v>
      </c>
      <c r="E40" s="38"/>
      <c r="F40" s="38" t="s">
        <v>112</v>
      </c>
      <c r="G40" s="51"/>
      <c r="H40" s="39"/>
    </row>
    <row r="41" spans="1:13" ht="24" x14ac:dyDescent="0.3">
      <c r="A41" s="40">
        <v>8</v>
      </c>
      <c r="B41" s="41" t="s">
        <v>113</v>
      </c>
      <c r="C41" s="41" t="s">
        <v>10</v>
      </c>
      <c r="D41" s="41" t="s">
        <v>99</v>
      </c>
      <c r="E41" s="41"/>
      <c r="F41" s="41" t="s">
        <v>114</v>
      </c>
      <c r="G41" s="52"/>
      <c r="H41" s="42"/>
    </row>
    <row r="42" spans="1:13" ht="48" x14ac:dyDescent="0.3">
      <c r="A42" s="37">
        <v>9</v>
      </c>
      <c r="B42" s="38" t="s">
        <v>115</v>
      </c>
      <c r="C42" s="38" t="s">
        <v>102</v>
      </c>
      <c r="D42" s="38" t="s">
        <v>116</v>
      </c>
      <c r="E42" s="38"/>
      <c r="F42" s="38" t="s">
        <v>117</v>
      </c>
      <c r="G42" s="51"/>
      <c r="H42" s="39" t="s">
        <v>118</v>
      </c>
    </row>
    <row r="43" spans="1:13" ht="36.6" thickBot="1" x14ac:dyDescent="0.35">
      <c r="A43" s="43">
        <v>10</v>
      </c>
      <c r="B43" s="44" t="s">
        <v>119</v>
      </c>
      <c r="C43" s="44" t="s">
        <v>16</v>
      </c>
      <c r="D43" s="44" t="s">
        <v>120</v>
      </c>
      <c r="E43" s="44"/>
      <c r="F43" s="44" t="s">
        <v>121</v>
      </c>
      <c r="G43" s="53"/>
      <c r="H43" s="45"/>
    </row>
    <row r="44" spans="1:13" ht="15" thickTop="1" x14ac:dyDescent="0.3"/>
    <row r="45" spans="1:13" x14ac:dyDescent="0.3">
      <c r="A45" s="46" t="s">
        <v>122</v>
      </c>
    </row>
    <row r="47" spans="1:13" ht="24" x14ac:dyDescent="0.3">
      <c r="A47" s="20" t="s">
        <v>7</v>
      </c>
      <c r="B47" s="21" t="s">
        <v>8</v>
      </c>
      <c r="C47" s="21" t="s">
        <v>9</v>
      </c>
      <c r="D47" s="21" t="s">
        <v>10</v>
      </c>
      <c r="E47" s="21" t="s">
        <v>123</v>
      </c>
      <c r="F47" s="21" t="s">
        <v>11</v>
      </c>
      <c r="G47" s="21" t="s">
        <v>125</v>
      </c>
      <c r="H47" s="21" t="s">
        <v>12</v>
      </c>
      <c r="I47" s="21" t="s">
        <v>13</v>
      </c>
      <c r="J47" s="21" t="s">
        <v>14</v>
      </c>
      <c r="K47" s="21" t="s">
        <v>15</v>
      </c>
      <c r="L47" s="22" t="s">
        <v>16</v>
      </c>
      <c r="M47" s="22" t="s">
        <v>132</v>
      </c>
    </row>
    <row r="48" spans="1:13" x14ac:dyDescent="0.3">
      <c r="A48" s="1" t="s">
        <v>17</v>
      </c>
      <c r="B48" s="23" t="str">
        <f>PROPER(TRIM(SUBSTITUTE(B11, CHAR(160), " ")))</f>
        <v>Rahul Sharma</v>
      </c>
      <c r="C48" s="2" t="s">
        <v>19</v>
      </c>
      <c r="D48" s="2" t="s">
        <v>20</v>
      </c>
      <c r="E48" s="47">
        <f>IFERROR(
  DATEVALUE(D11),
  IFERROR(
    DATE(
      RIGHT(D11,4),
      MONTH("1 "&amp;LEFT(D11,3)),
      MID(D11,5,2)
    ),
    DATEVALUE(SUBSTITUTE(D11,"-","/"))
  )
)</f>
        <v>45306</v>
      </c>
      <c r="F48" s="3">
        <v>850</v>
      </c>
      <c r="G48" s="3">
        <f>IF(F11="", 0, IF( F11&lt;0,"Data Error", F11))</f>
        <v>850</v>
      </c>
      <c r="H48" s="24" t="s">
        <v>21</v>
      </c>
      <c r="I48" s="3">
        <v>2</v>
      </c>
      <c r="J48" s="2" t="s">
        <v>22</v>
      </c>
      <c r="K48" s="2" t="s">
        <v>23</v>
      </c>
      <c r="L48" s="25">
        <v>4.5</v>
      </c>
      <c r="M48" t="str">
        <f>IF(COUNTIF($A$48:L48, A48)&gt;1, "DUPLICATE", "OK")</f>
        <v>OK</v>
      </c>
    </row>
    <row r="49" spans="1:13" x14ac:dyDescent="0.3">
      <c r="A49" s="4" t="s">
        <v>24</v>
      </c>
      <c r="B49" s="23" t="str">
        <f t="shared" ref="B49:B67" si="0">PROPER(TRIM(SUBSTITUTE(B12, CHAR(160), " ")))</f>
        <v>Priya Singh</v>
      </c>
      <c r="C49" s="5" t="s">
        <v>26</v>
      </c>
      <c r="D49" s="26" t="s">
        <v>27</v>
      </c>
      <c r="E49" s="47">
        <f t="shared" ref="E49:E67" si="1">IFERROR(
  DATEVALUE(D12),
  IFERROR(
    DATE(
      RIGHT(D12,4),
      MONTH("1 "&amp;LEFT(D12,3)),
      MID(D12,5,2)
    ),
    DATEVALUE(SUBSTITUTE(D12,"-","/"))
  )
)</f>
        <v>45306</v>
      </c>
      <c r="F49" s="6">
        <v>1200</v>
      </c>
      <c r="G49" s="3">
        <f t="shared" ref="G49:G67" si="2">IF(F12="", 0, IF( F12&lt;0,"Data Error", F12))</f>
        <v>1200</v>
      </c>
      <c r="H49" s="27" t="s">
        <v>28</v>
      </c>
      <c r="I49" s="6">
        <v>3</v>
      </c>
      <c r="J49" s="5" t="s">
        <v>22</v>
      </c>
      <c r="K49" s="5" t="s">
        <v>29</v>
      </c>
      <c r="L49" s="28">
        <v>3.8</v>
      </c>
      <c r="M49" t="str">
        <f>IF(COUNTIF($A$48:L49, A49)&gt;1, "DUPLICATE", "OK")</f>
        <v>OK</v>
      </c>
    </row>
    <row r="50" spans="1:13" x14ac:dyDescent="0.3">
      <c r="A50" s="1" t="s">
        <v>30</v>
      </c>
      <c r="B50" s="23" t="str">
        <f t="shared" si="0"/>
        <v>Amit Kumar</v>
      </c>
      <c r="C50" s="2" t="s">
        <v>32</v>
      </c>
      <c r="D50" s="2" t="s">
        <v>33</v>
      </c>
      <c r="E50" s="47">
        <f t="shared" si="1"/>
        <v>45307</v>
      </c>
      <c r="F50" s="3">
        <v>650</v>
      </c>
      <c r="G50" s="3">
        <f t="shared" si="2"/>
        <v>650</v>
      </c>
      <c r="H50" s="24" t="s">
        <v>21</v>
      </c>
      <c r="I50" s="3">
        <v>1</v>
      </c>
      <c r="J50" s="2" t="s">
        <v>22</v>
      </c>
      <c r="K50" s="2" t="s">
        <v>23</v>
      </c>
      <c r="L50" s="25">
        <v>5</v>
      </c>
      <c r="M50" t="str">
        <f>IF(COUNTIF($A$48:L50, A50)&gt;1, "DUPLICATE", "OK")</f>
        <v>OK</v>
      </c>
    </row>
    <row r="51" spans="1:13" x14ac:dyDescent="0.3">
      <c r="A51" s="4" t="s">
        <v>34</v>
      </c>
      <c r="B51" s="23" t="str">
        <f t="shared" si="0"/>
        <v>Sunita Rao</v>
      </c>
      <c r="C51" s="5" t="s">
        <v>36</v>
      </c>
      <c r="D51" s="5" t="s">
        <v>33</v>
      </c>
      <c r="E51" s="47">
        <f t="shared" si="1"/>
        <v>45307</v>
      </c>
      <c r="F51" s="29">
        <v>-200</v>
      </c>
      <c r="G51" s="3" t="str">
        <f t="shared" si="2"/>
        <v>Data Error</v>
      </c>
      <c r="H51" s="27" t="s">
        <v>28</v>
      </c>
      <c r="I51" s="6">
        <v>2</v>
      </c>
      <c r="J51" s="5" t="s">
        <v>37</v>
      </c>
      <c r="K51" s="5" t="s">
        <v>23</v>
      </c>
      <c r="L51" s="28"/>
      <c r="M51" t="str">
        <f>IF(COUNTIF($A$48:L51, A51)&gt;1, "DUPLICATE", "OK")</f>
        <v>OK</v>
      </c>
    </row>
    <row r="52" spans="1:13" x14ac:dyDescent="0.3">
      <c r="A52" s="1" t="s">
        <v>38</v>
      </c>
      <c r="B52" s="23" t="str">
        <f t="shared" si="0"/>
        <v>Vikram Patel</v>
      </c>
      <c r="C52" s="2" t="s">
        <v>40</v>
      </c>
      <c r="D52" s="2" t="s">
        <v>41</v>
      </c>
      <c r="E52" s="47">
        <f t="shared" si="1"/>
        <v>45308</v>
      </c>
      <c r="F52" s="3">
        <v>920</v>
      </c>
      <c r="G52" s="3">
        <f t="shared" si="2"/>
        <v>920</v>
      </c>
      <c r="H52" s="24" t="s">
        <v>21</v>
      </c>
      <c r="I52" s="3">
        <v>2</v>
      </c>
      <c r="J52" s="2" t="s">
        <v>22</v>
      </c>
      <c r="K52" s="2" t="s">
        <v>23</v>
      </c>
      <c r="L52" s="25">
        <v>4.2</v>
      </c>
      <c r="M52" t="str">
        <f>IF(COUNTIF($A$48:L52, A52)&gt;1, "DUPLICATE", "OK")</f>
        <v>OK</v>
      </c>
    </row>
    <row r="53" spans="1:13" x14ac:dyDescent="0.3">
      <c r="A53" s="4" t="s">
        <v>42</v>
      </c>
      <c r="B53" s="23" t="str">
        <f t="shared" si="0"/>
        <v>Neha Joshi</v>
      </c>
      <c r="C53" s="5" t="s">
        <v>19</v>
      </c>
      <c r="D53" s="5" t="s">
        <v>44</v>
      </c>
      <c r="E53" s="47">
        <f t="shared" si="1"/>
        <v>45308</v>
      </c>
      <c r="F53" s="6">
        <v>780</v>
      </c>
      <c r="G53" s="3">
        <f t="shared" si="2"/>
        <v>780</v>
      </c>
      <c r="H53" s="27" t="s">
        <v>45</v>
      </c>
      <c r="I53" s="6">
        <v>1</v>
      </c>
      <c r="J53" s="5" t="s">
        <v>22</v>
      </c>
      <c r="K53" s="5" t="s">
        <v>29</v>
      </c>
      <c r="L53" s="28">
        <v>4.7</v>
      </c>
      <c r="M53" t="str">
        <f>IF(COUNTIF($A$48:L53, A53)&gt;1, "DUPLICATE", "OK")</f>
        <v>OK</v>
      </c>
    </row>
    <row r="54" spans="1:13" x14ac:dyDescent="0.3">
      <c r="A54" s="1" t="s">
        <v>46</v>
      </c>
      <c r="B54" s="23" t="str">
        <f t="shared" si="0"/>
        <v>Rohit Verma</v>
      </c>
      <c r="C54" s="2" t="s">
        <v>26</v>
      </c>
      <c r="D54" s="2" t="s">
        <v>48</v>
      </c>
      <c r="E54" s="47">
        <f t="shared" si="1"/>
        <v>45309</v>
      </c>
      <c r="F54" s="3">
        <v>1500</v>
      </c>
      <c r="G54" s="3">
        <f t="shared" si="2"/>
        <v>1500</v>
      </c>
      <c r="H54" s="24" t="s">
        <v>49</v>
      </c>
      <c r="I54" s="3">
        <v>5</v>
      </c>
      <c r="J54" s="2" t="s">
        <v>50</v>
      </c>
      <c r="K54" s="2" t="s">
        <v>23</v>
      </c>
      <c r="L54" s="25"/>
      <c r="M54" t="str">
        <f>IF(COUNTIF($A$48:L54, A54)&gt;1, "DUPLICATE", "OK")</f>
        <v>OK</v>
      </c>
    </row>
    <row r="55" spans="1:13" x14ac:dyDescent="0.3">
      <c r="A55" s="4" t="s">
        <v>51</v>
      </c>
      <c r="B55" s="23" t="str">
        <f t="shared" si="0"/>
        <v>Kavya Nair</v>
      </c>
      <c r="C55" s="5" t="s">
        <v>32</v>
      </c>
      <c r="D55" s="5" t="s">
        <v>48</v>
      </c>
      <c r="E55" s="47">
        <f t="shared" si="1"/>
        <v>45309</v>
      </c>
      <c r="F55" s="6">
        <v>430</v>
      </c>
      <c r="G55" s="3">
        <f t="shared" si="2"/>
        <v>430</v>
      </c>
      <c r="H55" s="27" t="s">
        <v>21</v>
      </c>
      <c r="I55" s="6">
        <v>1</v>
      </c>
      <c r="J55" s="5" t="s">
        <v>22</v>
      </c>
      <c r="K55" s="5" t="s">
        <v>23</v>
      </c>
      <c r="L55" s="28">
        <v>3.5</v>
      </c>
      <c r="M55" t="str">
        <f>IF(COUNTIF($A$48:L55, A55)&gt;1, "DUPLICATE", "OK")</f>
        <v>OK</v>
      </c>
    </row>
    <row r="56" spans="1:13" x14ac:dyDescent="0.3">
      <c r="A56" s="1" t="s">
        <v>53</v>
      </c>
      <c r="B56" s="23" t="str">
        <f t="shared" si="0"/>
        <v>Arjun Kapoor</v>
      </c>
      <c r="C56" s="2" t="s">
        <v>36</v>
      </c>
      <c r="D56" s="2" t="s">
        <v>55</v>
      </c>
      <c r="E56" s="47">
        <f t="shared" si="1"/>
        <v>45310</v>
      </c>
      <c r="F56" s="3">
        <v>2100</v>
      </c>
      <c r="G56" s="3">
        <f t="shared" si="2"/>
        <v>2100</v>
      </c>
      <c r="H56" s="24" t="s">
        <v>49</v>
      </c>
      <c r="I56" s="3">
        <v>4</v>
      </c>
      <c r="J56" s="2" t="s">
        <v>22</v>
      </c>
      <c r="K56" s="2" t="s">
        <v>29</v>
      </c>
      <c r="L56" s="25">
        <v>4.8</v>
      </c>
      <c r="M56" t="str">
        <f>IF(COUNTIF($A$48:L56, A56)&gt;1, "DUPLICATE", "OK")</f>
        <v>OK</v>
      </c>
    </row>
    <row r="57" spans="1:13" x14ac:dyDescent="0.3">
      <c r="A57" s="4" t="s">
        <v>56</v>
      </c>
      <c r="B57" s="23" t="str">
        <f t="shared" si="0"/>
        <v>Divya Reddy</v>
      </c>
      <c r="C57" s="5" t="s">
        <v>19</v>
      </c>
      <c r="D57" s="5" t="s">
        <v>55</v>
      </c>
      <c r="E57" s="47">
        <f t="shared" si="1"/>
        <v>45310</v>
      </c>
      <c r="F57" s="6">
        <v>670</v>
      </c>
      <c r="G57" s="3">
        <f t="shared" si="2"/>
        <v>670</v>
      </c>
      <c r="H57" s="27" t="s">
        <v>28</v>
      </c>
      <c r="I57" s="6">
        <v>2</v>
      </c>
      <c r="J57" s="5" t="s">
        <v>22</v>
      </c>
      <c r="K57" s="5" t="s">
        <v>23</v>
      </c>
      <c r="L57" s="28">
        <v>4.0999999999999996</v>
      </c>
      <c r="M57" t="str">
        <f>IF(COUNTIF($A$48:L57, A57)&gt;1, "DUPLICATE", "OK")</f>
        <v>OK</v>
      </c>
    </row>
    <row r="58" spans="1:13" x14ac:dyDescent="0.3">
      <c r="A58" s="30" t="s">
        <v>24</v>
      </c>
      <c r="B58" s="23" t="str">
        <f t="shared" si="0"/>
        <v>Priya Singh</v>
      </c>
      <c r="C58" s="2" t="s">
        <v>26</v>
      </c>
      <c r="D58" s="2" t="s">
        <v>27</v>
      </c>
      <c r="E58" s="47">
        <f t="shared" si="1"/>
        <v>45306</v>
      </c>
      <c r="F58" s="3">
        <v>1200</v>
      </c>
      <c r="G58" s="3">
        <f t="shared" si="2"/>
        <v>1200</v>
      </c>
      <c r="H58" s="24" t="s">
        <v>28</v>
      </c>
      <c r="I58" s="3">
        <v>3</v>
      </c>
      <c r="J58" s="2" t="s">
        <v>22</v>
      </c>
      <c r="K58" s="2" t="s">
        <v>29</v>
      </c>
      <c r="L58" s="25">
        <v>3.8</v>
      </c>
      <c r="M58" t="str">
        <f>IF(COUNTIF($A$48:L58, A58)&gt;1, "DUPLICATE", "OK")</f>
        <v>DUPLICATE</v>
      </c>
    </row>
    <row r="59" spans="1:13" x14ac:dyDescent="0.3">
      <c r="A59" s="4" t="s">
        <v>58</v>
      </c>
      <c r="B59" s="23" t="str">
        <f t="shared" si="0"/>
        <v>Manish Tiwari</v>
      </c>
      <c r="C59" s="5" t="s">
        <v>40</v>
      </c>
      <c r="D59" s="5" t="s">
        <v>60</v>
      </c>
      <c r="E59" s="47">
        <f t="shared" si="1"/>
        <v>45311</v>
      </c>
      <c r="F59" s="6">
        <v>890</v>
      </c>
      <c r="G59" s="3">
        <f t="shared" si="2"/>
        <v>890</v>
      </c>
      <c r="H59" s="27" t="s">
        <v>21</v>
      </c>
      <c r="I59" s="6">
        <v>2</v>
      </c>
      <c r="J59" s="5" t="s">
        <v>22</v>
      </c>
      <c r="K59" s="5" t="s">
        <v>23</v>
      </c>
      <c r="L59" s="28">
        <v>4.4000000000000004</v>
      </c>
      <c r="M59" t="str">
        <f>IF(COUNTIF($A$48:L59, A59)&gt;1, "DUPLICATE", "OK")</f>
        <v>OK</v>
      </c>
    </row>
    <row r="60" spans="1:13" x14ac:dyDescent="0.3">
      <c r="A60" s="1" t="s">
        <v>61</v>
      </c>
      <c r="B60" s="23" t="str">
        <f t="shared" si="0"/>
        <v>Pooja Agarwal</v>
      </c>
      <c r="C60" s="2" t="s">
        <v>63</v>
      </c>
      <c r="D60" s="2" t="s">
        <v>60</v>
      </c>
      <c r="E60" s="47">
        <f t="shared" si="1"/>
        <v>45311</v>
      </c>
      <c r="F60" s="29"/>
      <c r="G60" s="3">
        <f t="shared" si="2"/>
        <v>0</v>
      </c>
      <c r="H60" s="24" t="s">
        <v>45</v>
      </c>
      <c r="I60" s="3">
        <v>1</v>
      </c>
      <c r="J60" s="2" t="s">
        <v>22</v>
      </c>
      <c r="K60" s="2" t="s">
        <v>29</v>
      </c>
      <c r="L60" s="25">
        <v>4.5999999999999996</v>
      </c>
      <c r="M60" t="str">
        <f>IF(COUNTIF($A$48:L60, A60)&gt;1, "DUPLICATE", "OK")</f>
        <v>OK</v>
      </c>
    </row>
    <row r="61" spans="1:13" x14ac:dyDescent="0.3">
      <c r="A61" s="4" t="s">
        <v>64</v>
      </c>
      <c r="B61" s="23" t="str">
        <f t="shared" si="0"/>
        <v>Kiran Desai</v>
      </c>
      <c r="C61" s="5" t="s">
        <v>19</v>
      </c>
      <c r="D61" s="5" t="s">
        <v>66</v>
      </c>
      <c r="E61" s="47">
        <f t="shared" si="1"/>
        <v>45312</v>
      </c>
      <c r="F61" s="6">
        <v>1100</v>
      </c>
      <c r="G61" s="3">
        <f t="shared" si="2"/>
        <v>1100</v>
      </c>
      <c r="H61" s="27" t="s">
        <v>21</v>
      </c>
      <c r="I61" s="6">
        <v>3</v>
      </c>
      <c r="J61" s="5" t="s">
        <v>22</v>
      </c>
      <c r="K61" s="5" t="s">
        <v>23</v>
      </c>
      <c r="L61" s="28">
        <v>4.3</v>
      </c>
      <c r="M61" t="str">
        <f>IF(COUNTIF($A$48:L61, A61)&gt;1, "DUPLICATE", "OK")</f>
        <v>OK</v>
      </c>
    </row>
    <row r="62" spans="1:13" x14ac:dyDescent="0.3">
      <c r="A62" s="1" t="s">
        <v>67</v>
      </c>
      <c r="B62" s="23" t="str">
        <f t="shared" si="0"/>
        <v>Ravi Choudhary</v>
      </c>
      <c r="C62" s="2" t="s">
        <v>26</v>
      </c>
      <c r="D62" s="26" t="s">
        <v>69</v>
      </c>
      <c r="E62" s="47">
        <f t="shared" si="1"/>
        <v>45312</v>
      </c>
      <c r="F62" s="3">
        <v>750</v>
      </c>
      <c r="G62" s="3">
        <f t="shared" si="2"/>
        <v>750</v>
      </c>
      <c r="H62" s="24" t="s">
        <v>28</v>
      </c>
      <c r="I62" s="3">
        <v>2</v>
      </c>
      <c r="J62" s="2" t="s">
        <v>22</v>
      </c>
      <c r="K62" s="2" t="s">
        <v>29</v>
      </c>
      <c r="L62" s="25"/>
      <c r="M62" t="str">
        <f>IF(COUNTIF($A$48:L62, A62)&gt;1, "DUPLICATE", "OK")</f>
        <v>OK</v>
      </c>
    </row>
    <row r="63" spans="1:13" x14ac:dyDescent="0.3">
      <c r="A63" s="4" t="s">
        <v>70</v>
      </c>
      <c r="B63" s="23" t="str">
        <f t="shared" si="0"/>
        <v>Ananya Iyer</v>
      </c>
      <c r="C63" s="5" t="s">
        <v>36</v>
      </c>
      <c r="D63" s="5" t="s">
        <v>72</v>
      </c>
      <c r="E63" s="47">
        <f t="shared" si="1"/>
        <v>45313</v>
      </c>
      <c r="F63" s="6">
        <v>1800</v>
      </c>
      <c r="G63" s="3">
        <f t="shared" si="2"/>
        <v>1800</v>
      </c>
      <c r="H63" s="27" t="s">
        <v>49</v>
      </c>
      <c r="I63" s="6">
        <v>6</v>
      </c>
      <c r="J63" s="5" t="s">
        <v>50</v>
      </c>
      <c r="K63" s="5" t="s">
        <v>23</v>
      </c>
      <c r="L63" s="28"/>
      <c r="M63" t="str">
        <f>IF(COUNTIF($A$48:L63, A63)&gt;1, "DUPLICATE", "OK")</f>
        <v>OK</v>
      </c>
    </row>
    <row r="64" spans="1:13" x14ac:dyDescent="0.3">
      <c r="A64" s="1" t="s">
        <v>73</v>
      </c>
      <c r="B64" s="23" t="str">
        <f t="shared" si="0"/>
        <v>Deepak Malhotra</v>
      </c>
      <c r="C64" s="2" t="s">
        <v>40</v>
      </c>
      <c r="D64" s="2" t="s">
        <v>72</v>
      </c>
      <c r="E64" s="47">
        <f t="shared" si="1"/>
        <v>45313</v>
      </c>
      <c r="F64" s="3">
        <v>560</v>
      </c>
      <c r="G64" s="3">
        <f t="shared" si="2"/>
        <v>560</v>
      </c>
      <c r="H64" s="24" t="s">
        <v>21</v>
      </c>
      <c r="I64" s="3">
        <v>1</v>
      </c>
      <c r="J64" s="2" t="s">
        <v>22</v>
      </c>
      <c r="K64" s="2" t="s">
        <v>23</v>
      </c>
      <c r="L64" s="25">
        <v>3.9</v>
      </c>
      <c r="M64" t="str">
        <f>IF(COUNTIF($A$48:L64, A64)&gt;1, "DUPLICATE", "OK")</f>
        <v>OK</v>
      </c>
    </row>
    <row r="65" spans="1:13" x14ac:dyDescent="0.3">
      <c r="A65" s="4" t="s">
        <v>75</v>
      </c>
      <c r="B65" s="23" t="str">
        <f t="shared" si="0"/>
        <v>Sonia Bhatt</v>
      </c>
      <c r="C65" s="5" t="s">
        <v>32</v>
      </c>
      <c r="D65" s="5" t="s">
        <v>77</v>
      </c>
      <c r="E65" s="47">
        <f t="shared" si="1"/>
        <v>45314</v>
      </c>
      <c r="F65" s="6">
        <v>940</v>
      </c>
      <c r="G65" s="3">
        <f t="shared" si="2"/>
        <v>940</v>
      </c>
      <c r="H65" s="27" t="s">
        <v>45</v>
      </c>
      <c r="I65" s="6">
        <v>2</v>
      </c>
      <c r="J65" s="5" t="s">
        <v>22</v>
      </c>
      <c r="K65" s="5" t="s">
        <v>29</v>
      </c>
      <c r="L65" s="28">
        <v>4.5</v>
      </c>
      <c r="M65" t="str">
        <f>IF(COUNTIF($A$48:L65, A65)&gt;1, "DUPLICATE", "OK")</f>
        <v>OK</v>
      </c>
    </row>
    <row r="66" spans="1:13" x14ac:dyDescent="0.3">
      <c r="A66" s="1" t="s">
        <v>78</v>
      </c>
      <c r="B66" s="23" t="str">
        <f t="shared" si="0"/>
        <v>Arun Saxena</v>
      </c>
      <c r="C66" s="2" t="s">
        <v>19</v>
      </c>
      <c r="D66" s="2" t="s">
        <v>77</v>
      </c>
      <c r="E66" s="47">
        <f t="shared" si="1"/>
        <v>45314</v>
      </c>
      <c r="F66" s="3">
        <v>12000</v>
      </c>
      <c r="G66" s="3">
        <f t="shared" si="2"/>
        <v>12000</v>
      </c>
      <c r="H66" s="24" t="s">
        <v>49</v>
      </c>
      <c r="I66" s="3">
        <v>7</v>
      </c>
      <c r="J66" s="2" t="s">
        <v>22</v>
      </c>
      <c r="K66" s="2" t="s">
        <v>23</v>
      </c>
      <c r="L66" s="25">
        <v>4.9000000000000004</v>
      </c>
      <c r="M66" t="str">
        <f>IF(COUNTIF($A$48:L66, A66)&gt;1, "DUPLICATE", "OK")</f>
        <v>OK</v>
      </c>
    </row>
    <row r="67" spans="1:13" ht="15" thickBot="1" x14ac:dyDescent="0.35">
      <c r="A67" s="7" t="s">
        <v>80</v>
      </c>
      <c r="B67" s="23" t="str">
        <f t="shared" si="0"/>
        <v>Tanya Singh</v>
      </c>
      <c r="C67" s="8" t="s">
        <v>63</v>
      </c>
      <c r="D67" s="8" t="s">
        <v>82</v>
      </c>
      <c r="E67" s="47">
        <f t="shared" si="1"/>
        <v>45315</v>
      </c>
      <c r="F67" s="9">
        <v>830</v>
      </c>
      <c r="G67" s="3">
        <f t="shared" si="2"/>
        <v>830</v>
      </c>
      <c r="H67" s="31" t="s">
        <v>21</v>
      </c>
      <c r="I67" s="9">
        <v>2</v>
      </c>
      <c r="J67" s="8" t="s">
        <v>22</v>
      </c>
      <c r="K67" s="8" t="s">
        <v>23</v>
      </c>
      <c r="L67" s="32">
        <v>4.2</v>
      </c>
      <c r="M67" t="str">
        <f>IF(COUNTIF($A$48:L67, A67)&gt;1, "DUPLICATE", "OK")</f>
        <v>OK</v>
      </c>
    </row>
    <row r="68" spans="1:13" ht="15" thickTop="1" x14ac:dyDescent="0.3"/>
    <row r="70" spans="1:13" x14ac:dyDescent="0.3">
      <c r="A70" s="46" t="s">
        <v>126</v>
      </c>
    </row>
    <row r="72" spans="1:13" x14ac:dyDescent="0.3">
      <c r="A72" s="46" t="s">
        <v>127</v>
      </c>
      <c r="D72" s="46" t="s">
        <v>128</v>
      </c>
      <c r="G72" s="46" t="s">
        <v>130</v>
      </c>
    </row>
    <row r="73" spans="1:13" x14ac:dyDescent="0.3">
      <c r="A73" s="49" t="s">
        <v>12</v>
      </c>
      <c r="B73" s="49" t="s">
        <v>124</v>
      </c>
      <c r="D73" s="49" t="s">
        <v>9</v>
      </c>
      <c r="E73" s="54" t="s">
        <v>129</v>
      </c>
      <c r="G73" s="54" t="s">
        <v>14</v>
      </c>
      <c r="H73" s="54" t="s">
        <v>131</v>
      </c>
    </row>
    <row r="74" spans="1:13" x14ac:dyDescent="0.3">
      <c r="A74" s="48" t="str" cm="1">
        <f t="array" ref="A74:A77">_xlfn.UNIQUE(H11:H30)</f>
        <v>Food</v>
      </c>
      <c r="B74" s="48">
        <f>SUMIF($H$48:$H$67, A74, $G$48:$G$67)</f>
        <v>6230</v>
      </c>
      <c r="D74" s="48" t="str" cm="1">
        <f t="array" ref="D74:D79">_xlfn.UNIQUE(C48:C67)</f>
        <v>Mumbai</v>
      </c>
      <c r="E74" s="55">
        <f>AVERAGEIF($C$48:$C$67, D74, $I$48:$I$67)</f>
        <v>3</v>
      </c>
      <c r="G74" s="48" t="str" cm="1">
        <f t="array" ref="G74:G76">_xlfn.UNIQUE(J48:J66)</f>
        <v>Delivered</v>
      </c>
      <c r="H74" s="56">
        <f>COUNTIF($J$48:$J$67, G74)/ COUNTA($J$48:$J$67)</f>
        <v>0.85</v>
      </c>
    </row>
    <row r="75" spans="1:13" x14ac:dyDescent="0.3">
      <c r="A75" s="48" t="str">
        <v>Grocery</v>
      </c>
      <c r="B75" s="48">
        <f>SUMIF($H$48:$H$67,A75,$G$48:$G$67)</f>
        <v>3820</v>
      </c>
      <c r="D75" s="48" t="str">
        <v>Delhi</v>
      </c>
      <c r="E75" s="55">
        <f>AVERAGEIF($C$48:$C$67, D75, $I$48:$I$67)</f>
        <v>3.25</v>
      </c>
      <c r="G75" s="48" t="str">
        <v>Cancelled</v>
      </c>
      <c r="H75" s="56">
        <f>COUNTIF($J$48:$J$67, G75)/ COUNTA($J$48:$J$67)</f>
        <v>0.05</v>
      </c>
    </row>
    <row r="76" spans="1:13" x14ac:dyDescent="0.3">
      <c r="A76" s="48" t="str">
        <v>Pharmacy</v>
      </c>
      <c r="B76" s="48">
        <f>SUMIF($H$48:$H$67,A76,$G$48:$G$67)</f>
        <v>1720</v>
      </c>
      <c r="D76" s="48" t="str">
        <v>Pune</v>
      </c>
      <c r="E76" s="55">
        <f>AVERAGEIF($C$48:$C$67, D76, $I$48:$I$67)</f>
        <v>1.3333333333333333</v>
      </c>
      <c r="G76" s="48" t="str">
        <v>Pending</v>
      </c>
      <c r="H76" s="56">
        <f>COUNTIF($J$48:$J$67, G76)/ COUNTA($J$48:$J$67)</f>
        <v>0.1</v>
      </c>
    </row>
    <row r="77" spans="1:13" x14ac:dyDescent="0.3">
      <c r="A77" s="48" t="str">
        <v>Electronics</v>
      </c>
      <c r="B77" s="48">
        <f>SUMIF($H$48:$H$67,A77,$G$48:$G$67)</f>
        <v>17400</v>
      </c>
      <c r="D77" s="48" t="str">
        <v>Bangalore</v>
      </c>
      <c r="E77" s="55">
        <f>AVERAGEIF($C$48:$C$67, D77, $I$48:$I$67)</f>
        <v>4</v>
      </c>
    </row>
    <row r="78" spans="1:13" x14ac:dyDescent="0.3">
      <c r="D78" s="48" t="str">
        <v>Chennai</v>
      </c>
      <c r="E78" s="55">
        <f>AVERAGEIF($C$48:$C$67, D78, $I$48:$I$67)</f>
        <v>1.6666666666666667</v>
      </c>
    </row>
    <row r="79" spans="1:13" x14ac:dyDescent="0.3">
      <c r="D79" s="48" t="str">
        <v>Hyderabad</v>
      </c>
      <c r="E79" s="55">
        <f>AVERAGEIF($C$48:$C$67, D78, $I$48:$I$67)</f>
        <v>1.6666666666666667</v>
      </c>
    </row>
  </sheetData>
  <mergeCells count="11">
    <mergeCell ref="A31:L31"/>
    <mergeCell ref="A32:L32"/>
    <mergeCell ref="A7:L7"/>
    <mergeCell ref="A8:L8"/>
    <mergeCell ref="A9:L9"/>
    <mergeCell ref="A1:L1"/>
    <mergeCell ref="A2:L2"/>
    <mergeCell ref="A3:L3"/>
    <mergeCell ref="A4:L4"/>
    <mergeCell ref="A5:L5"/>
    <mergeCell ref="A6:L6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Case_Study_4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Sami Siddiqui</dc:creator>
  <cp:lastModifiedBy>Mohd Sami Siddiqui</cp:lastModifiedBy>
  <dcterms:created xsi:type="dcterms:W3CDTF">2026-06-27T14:58:49Z</dcterms:created>
  <dcterms:modified xsi:type="dcterms:W3CDTF">2026-06-27T16:56:06Z</dcterms:modified>
</cp:coreProperties>
</file>