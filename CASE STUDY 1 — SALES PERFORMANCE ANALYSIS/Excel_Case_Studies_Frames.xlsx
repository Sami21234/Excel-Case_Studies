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60c66bf640a71f3/Desktop/Excel_Case_Studies/"/>
    </mc:Choice>
  </mc:AlternateContent>
  <xr:revisionPtr revIDLastSave="7" documentId="11_B973A59CB281C7C6DB2D79708446F84F8E92A635" xr6:coauthVersionLast="47" xr6:coauthVersionMax="47" xr10:uidLastSave="{12679B78-72BC-43EA-B6D9-31B24C07C309}"/>
  <bookViews>
    <workbookView xWindow="-108" yWindow="-108" windowWidth="23256" windowHeight="12456" xr2:uid="{00000000-000D-0000-FFFF-FFFF00000000}"/>
  </bookViews>
  <sheets>
    <sheet name="CS1 - Sales Analysis" sheetId="1" r:id="rId1"/>
    <sheet name="CS2 - HR &amp; Payroll" sheetId="2" r:id="rId2"/>
    <sheet name="CS3 - Inventory Mgmt" sheetId="3" r:id="rId3"/>
    <sheet name="CS4 - Financial Analysis" sheetId="4" r:id="rId4"/>
    <sheet name="CS5 - Data Cleaning"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 l="1"/>
  <c r="G22" i="4" s="1"/>
  <c r="I22" i="4" s="1"/>
  <c r="E21" i="4"/>
  <c r="G21" i="4" s="1"/>
  <c r="I21" i="4" s="1"/>
  <c r="G20" i="4"/>
  <c r="I20" i="4" s="1"/>
  <c r="E20" i="4"/>
  <c r="E19" i="4"/>
  <c r="G19" i="4" s="1"/>
  <c r="I19" i="4" s="1"/>
  <c r="I18" i="4"/>
  <c r="G18" i="4"/>
  <c r="E18" i="4"/>
  <c r="E17" i="4"/>
  <c r="G17" i="4" s="1"/>
  <c r="I17" i="4" s="1"/>
  <c r="E16" i="4"/>
  <c r="G16" i="4" s="1"/>
  <c r="I16" i="4" s="1"/>
  <c r="G15" i="4"/>
  <c r="I15" i="4" s="1"/>
  <c r="E15" i="4"/>
  <c r="E14" i="4"/>
  <c r="G14" i="4" s="1"/>
  <c r="I14" i="4" s="1"/>
  <c r="G13" i="4"/>
  <c r="I13" i="4" s="1"/>
  <c r="E13" i="4"/>
  <c r="E12" i="4"/>
  <c r="G12" i="4" s="1"/>
  <c r="I12" i="4" s="1"/>
  <c r="E11" i="4"/>
  <c r="G11" i="4" s="1"/>
  <c r="I11" i="4" s="1"/>
</calcChain>
</file>

<file path=xl/sharedStrings.xml><?xml version="1.0" encoding="utf-8"?>
<sst xmlns="http://schemas.openxmlformats.org/spreadsheetml/2006/main" count="813" uniqueCount="492">
  <si>
    <t>CASE STUDY 1 — SALES PERFORMANCE ANALYSIS</t>
  </si>
  <si>
    <t>Interviewer Perspective | As used in Data Analyst interviews at Google, Microsoft, Reliance Retail | Difficulty: ★★★☆☆</t>
  </si>
  <si>
    <t xml:space="preserve">  INTERVIEWER'S NOTE</t>
  </si>
  <si>
    <t xml:space="preserve">  I have given this exact dataset in 200+ interviews. In my 10 years at companies like Microsoft and Google, 60% of candidates fail Q3 alone because they don't know how to nest IFERROR with XLOOKUP. The questions are designed to separate candidates who memorised formulas from those who truly understand data. A strong candidate finishes all 6 questions in under 25 minutes.</t>
  </si>
  <si>
    <t xml:space="preserve">  SCENARIO</t>
  </si>
  <si>
    <t xml:space="preserve">  You are a Data Analyst at TechNova India. The Sales Head has given you the quarterly sales data for 20 sales representatives across 4 regions. You must analyse this data and answer the business questions below using Excel formulas only. No manual calculations permitted.</t>
  </si>
  <si>
    <t xml:space="preserve">  DATASET — Sales Data Table (Use this for all formulas)</t>
  </si>
  <si>
    <t>Emp ID</t>
  </si>
  <si>
    <t>Sales Rep Name</t>
  </si>
  <si>
    <t>Region</t>
  </si>
  <si>
    <t>Q1 Sales (₹)</t>
  </si>
  <si>
    <t>Q2 Sales (₹)</t>
  </si>
  <si>
    <t>Q3 Sales (₹)</t>
  </si>
  <si>
    <t>Q4 Sales (₹)</t>
  </si>
  <si>
    <t>Target (₹)</t>
  </si>
  <si>
    <t>Product Category</t>
  </si>
  <si>
    <t>Manager</t>
  </si>
  <si>
    <t>E001</t>
  </si>
  <si>
    <t>Amit Sharma</t>
  </si>
  <si>
    <t>North</t>
  </si>
  <si>
    <t>Software</t>
  </si>
  <si>
    <t>Rajiv Gupta</t>
  </si>
  <si>
    <t>E002</t>
  </si>
  <si>
    <t>Priya Singh</t>
  </si>
  <si>
    <t>South</t>
  </si>
  <si>
    <t>Hardware</t>
  </si>
  <si>
    <t>Sunita Rao</t>
  </si>
  <si>
    <t>E003</t>
  </si>
  <si>
    <t>Rohit Verma</t>
  </si>
  <si>
    <t>East</t>
  </si>
  <si>
    <t>Anjali Mehta</t>
  </si>
  <si>
    <t>E004</t>
  </si>
  <si>
    <t>Neha Joshi</t>
  </si>
  <si>
    <t>West</t>
  </si>
  <si>
    <t>Cloud</t>
  </si>
  <si>
    <t>E005</t>
  </si>
  <si>
    <t>Suresh Kumar</t>
  </si>
  <si>
    <t>E006</t>
  </si>
  <si>
    <t>Kavya Nair</t>
  </si>
  <si>
    <t>E007</t>
  </si>
  <si>
    <t>Arjun Patel</t>
  </si>
  <si>
    <t>E008</t>
  </si>
  <si>
    <t>Divya Reddy</t>
  </si>
  <si>
    <t>E009</t>
  </si>
  <si>
    <t>Manish Tiwari</t>
  </si>
  <si>
    <t>E010</t>
  </si>
  <si>
    <t>Pooja Agarwal</t>
  </si>
  <si>
    <t>E011</t>
  </si>
  <si>
    <t>Kiran Desai</t>
  </si>
  <si>
    <t>E012</t>
  </si>
  <si>
    <t>Vikram Yadav</t>
  </si>
  <si>
    <t>E013</t>
  </si>
  <si>
    <t>Sneha Pillai</t>
  </si>
  <si>
    <t>E014</t>
  </si>
  <si>
    <t>Ravi Choudhary</t>
  </si>
  <si>
    <t>E015</t>
  </si>
  <si>
    <t>Ananya Iyer</t>
  </si>
  <si>
    <t>E016</t>
  </si>
  <si>
    <t>Deepak Malhotra</t>
  </si>
  <si>
    <t>E017</t>
  </si>
  <si>
    <t>Sonia Bhatt</t>
  </si>
  <si>
    <t>E018</t>
  </si>
  <si>
    <t>Arun Saxena</t>
  </si>
  <si>
    <t>E019</t>
  </si>
  <si>
    <t>Nidhi Sharma</t>
  </si>
  <si>
    <t>E020</t>
  </si>
  <si>
    <t>Tarun Kapoor</t>
  </si>
  <si>
    <t xml:space="preserve">  INTERVIEW QUESTIONS — Answer all 6 questions using Excel formulas</t>
  </si>
  <si>
    <t xml:space="preserve">  Q1.  Calculate the TOTAL annual sales for each employee (sum of Q1+Q2+Q3+Q4) in a new column. Which formula would you use and why?</t>
  </si>
  <si>
    <t xml:space="preserve">  Expected Answer (Interviewer Key):</t>
  </si>
  <si>
    <t>Expected Formula: =SUM(D11:G11) dragged down. Strong candidates mention converting to an Excel Table (Ctrl+T) so formulas auto-extend. Red flag: candidate uses =D11+E11+F11+G11 — shows lack of scalability thinking.</t>
  </si>
  <si>
    <t xml:space="preserve">  Q2.  Using XLOOKUP (or VLOOKUP), find the Q3 Sales of employee 'E007'. What happens if the ID doesn't exist — how do you handle the error?</t>
  </si>
  <si>
    <t>Expected Formula: =XLOOKUP('E007',A11:A30,F11:F30,'Not Found'). Bonus: wrap in IFERROR for VLOOKUP: =IFERROR(VLOOKUP('E007',A11:J30,6,0),'Not Found'). Fail signal: candidate doesn't handle the error case.</t>
  </si>
  <si>
    <t xml:space="preserve">  Q3.  Using SUMIFS, calculate total Q4 sales for the 'Cloud' category in the 'West' region only.</t>
  </si>
  <si>
    <t>Expected Formula: =SUMIFS(G11:G30,I11:I30,'Cloud',C11:C30,'West'). Advanced: candidate uses structured table references. Key test: do they know SUMIF vs SUMIFS difference? Many confuse the argument order.</t>
  </si>
  <si>
    <t xml:space="preserve">  Q4.  Identify all employees who MISSED their annual target. Use a formula to flag them as 'Below Target' or 'Target Achieved'.</t>
  </si>
  <si>
    <t>Expected Formula: =IF(SUM(D11:G11)&lt;H11,'Below Target','Target Achieved'). Strong: adds conditional formatting to highlight red/green. Outstanding: uses =IF(SUM(D11:G11)/H11&lt;1,'Below Target - '&amp;TEXT(1-SUM(D11:G11)/H11,'0%')&amp;' gap','Target Achieved').</t>
  </si>
  <si>
    <t xml:space="preserve">  Q5.  Who is the TOP performing sales representative overall? Write a formula to find their name without sorting the data.</t>
  </si>
  <si>
    <t>Expected Formula: =INDEX(B11:B30,MATCH(MAX(K11:K30),K11:K30,0)) where K is Total Sales. Common wrong answer: just typing MAX without INDEX-MATCH. This question alone filters 40% of candidates.</t>
  </si>
  <si>
    <t xml:space="preserve">  Q6.  Calculate the % target achievement for each employee and rank them from 1 (highest) to 20 (lowest). Which formula handles ties correctly?</t>
  </si>
  <si>
    <t>Expected Formulas: Achievement%: =SUM(D11:G11)/H11. Rank: =RANK.EQ(K11,K$11:K$30,0) or =RANK.AVG for tie-handling. Outstanding: explains difference between RANK, RANK.EQ and RANK.AVG with tie scenario.</t>
  </si>
  <si>
    <t xml:space="preserve">  SCORING RUBRIC — How I grade this case study</t>
  </si>
  <si>
    <t>6/6 Correct + Used tables/dynamic refs</t>
  </si>
  <si>
    <t>HIRE — Senior Analyst level. Rare. Top 5% of candidates.</t>
  </si>
  <si>
    <t>4-5/6 with clean formulas</t>
  </si>
  <si>
    <t>HIRE — Mid-level Analyst. Solid foundation. Train on gaps.</t>
  </si>
  <si>
    <t>3/6 or got Q5 wrong</t>
  </si>
  <si>
    <t>MAYBE — Re-interview with simpler case. INDEX-MATCH is non-negotiable.</t>
  </si>
  <si>
    <t>Less than 3/6 or used manual calculations</t>
  </si>
  <si>
    <t>NO HIRE — Does not meet minimum bar for any data role.</t>
  </si>
  <si>
    <t>CASE STUDY 2 — HR ATTRITION &amp; PAYROLL ANALYSIS</t>
  </si>
  <si>
    <t>Interviewer Perspective | As used in HR Analyst &amp; Finance roles at Reliance, Wipro, TCS, Infosys | Difficulty: ★★★★☆</t>
  </si>
  <si>
    <t xml:space="preserve">  This case study is the most emotionally charged one I give. HR data is messy, inconsistent, and real. At Reliance, I used a version of this to hire an entire analytics team. The key differentiator: can the candidate handle NESTED IFs gracefully, or do they write a 200-character monster formula that breaks on edge cases? I am looking for logic, not just syntax. The payroll question catches 70% of candidates off guard.</t>
  </si>
  <si>
    <t xml:space="preserve">  You are the HR Analytics Lead at MegaCorp India. The CHRO needs a complete payroll and attrition report before the board meeting in 2 hours. The employee database below is your only source. You must build all calculations using formulas — no manual entries. The bonus slab and tax calculation logic is provided in the questions.</t>
  </si>
  <si>
    <t xml:space="preserve">  DATASET — Employee Master Table</t>
  </si>
  <si>
    <t>Employee Name</t>
  </si>
  <si>
    <t>Department</t>
  </si>
  <si>
    <t>Designation</t>
  </si>
  <si>
    <t>Years Exp</t>
  </si>
  <si>
    <t>Basic Salary (₹)</t>
  </si>
  <si>
    <t>Joining Date</t>
  </si>
  <si>
    <t>Status</t>
  </si>
  <si>
    <t>Gender</t>
  </si>
  <si>
    <t>Age</t>
  </si>
  <si>
    <t>City</t>
  </si>
  <si>
    <t>EMP001</t>
  </si>
  <si>
    <t>Aarav Mehta</t>
  </si>
  <si>
    <t>Engineering</t>
  </si>
  <si>
    <t>Senior Engineer</t>
  </si>
  <si>
    <t>2017-03-15</t>
  </si>
  <si>
    <t>Active</t>
  </si>
  <si>
    <t>M</t>
  </si>
  <si>
    <t>Mumbai</t>
  </si>
  <si>
    <t>EMP002</t>
  </si>
  <si>
    <t>Bhavna Shah</t>
  </si>
  <si>
    <t>Marketing</t>
  </si>
  <si>
    <t>2019-06-01</t>
  </si>
  <si>
    <t>F</t>
  </si>
  <si>
    <t>Delhi</t>
  </si>
  <si>
    <t>EMP003</t>
  </si>
  <si>
    <t>Chetan Rao</t>
  </si>
  <si>
    <t>Junior Engineer</t>
  </si>
  <si>
    <t>2022-01-10</t>
  </si>
  <si>
    <t>Pune</t>
  </si>
  <si>
    <t>EMP004</t>
  </si>
  <si>
    <t>Deepika Nair</t>
  </si>
  <si>
    <t>HR</t>
  </si>
  <si>
    <t>HR Executive</t>
  </si>
  <si>
    <t>2020-08-20</t>
  </si>
  <si>
    <t>Bangalore</t>
  </si>
  <si>
    <t>EMP005</t>
  </si>
  <si>
    <t>Eshan Gupta</t>
  </si>
  <si>
    <t>Finance</t>
  </si>
  <si>
    <t>Senior Analyst</t>
  </si>
  <si>
    <t>2016-04-05</t>
  </si>
  <si>
    <t>Resigned</t>
  </si>
  <si>
    <t>EMP006</t>
  </si>
  <si>
    <t>Fatima Khan</t>
  </si>
  <si>
    <t>Tech Lead</t>
  </si>
  <si>
    <t>2014-07-12</t>
  </si>
  <si>
    <t>Hyderabad</t>
  </si>
  <si>
    <t>EMP007</t>
  </si>
  <si>
    <t>Gaurav Tiwari</t>
  </si>
  <si>
    <t>Sales</t>
  </si>
  <si>
    <t>Sales Executive</t>
  </si>
  <si>
    <t>2021-05-18</t>
  </si>
  <si>
    <t>Jaipur</t>
  </si>
  <si>
    <t>EMP008</t>
  </si>
  <si>
    <t>Hema Reddy</t>
  </si>
  <si>
    <t>Senior Manager</t>
  </si>
  <si>
    <t>2015-09-30</t>
  </si>
  <si>
    <t>Chennai</t>
  </si>
  <si>
    <t>EMP009</t>
  </si>
  <si>
    <t>Ishan Joshi</t>
  </si>
  <si>
    <t>Analyst</t>
  </si>
  <si>
    <t>2023-03-01</t>
  </si>
  <si>
    <t>EMP010</t>
  </si>
  <si>
    <t>Jasmine Pillai</t>
  </si>
  <si>
    <t>HR Manager</t>
  </si>
  <si>
    <t>2018-11-14</t>
  </si>
  <si>
    <t>EMP011</t>
  </si>
  <si>
    <t>Karan Malhotra</t>
  </si>
  <si>
    <t>Architect</t>
  </si>
  <si>
    <t>2012-01-20</t>
  </si>
  <si>
    <t>EMP012</t>
  </si>
  <si>
    <t>Leena Saxena</t>
  </si>
  <si>
    <t>Sales Manager</t>
  </si>
  <si>
    <t>2017-06-08</t>
  </si>
  <si>
    <t>EMP013</t>
  </si>
  <si>
    <t>Manoj Desai</t>
  </si>
  <si>
    <t>CFO</t>
  </si>
  <si>
    <t>15</t>
  </si>
  <si>
    <t>2009-04-01</t>
  </si>
  <si>
    <t>EMP014</t>
  </si>
  <si>
    <t>Neha Kapoor</t>
  </si>
  <si>
    <t>Executive</t>
  </si>
  <si>
    <t>2022-07-15</t>
  </si>
  <si>
    <t>EMP015</t>
  </si>
  <si>
    <t>Omar Sheikh</t>
  </si>
  <si>
    <t>2018-02-28</t>
  </si>
  <si>
    <t>EMP016</t>
  </si>
  <si>
    <t>Prachi Verma</t>
  </si>
  <si>
    <t>CHRO</t>
  </si>
  <si>
    <t>2010-08-10</t>
  </si>
  <si>
    <t>EMP017</t>
  </si>
  <si>
    <t>Qasim Ali</t>
  </si>
  <si>
    <t>2023-09-01</t>
  </si>
  <si>
    <t>EMP018</t>
  </si>
  <si>
    <t>Rekha Iyer</t>
  </si>
  <si>
    <t>2021-04-12</t>
  </si>
  <si>
    <t>EMP019</t>
  </si>
  <si>
    <t>Sanjay Bhatt</t>
  </si>
  <si>
    <t>2016-03-22</t>
  </si>
  <si>
    <t>EMP020</t>
  </si>
  <si>
    <t>Tanya Singh</t>
  </si>
  <si>
    <t>Director</t>
  </si>
  <si>
    <t>2013-10-05</t>
  </si>
  <si>
    <t xml:space="preserve">  INTERVIEW QUESTIONS — Complete all 6 tasks</t>
  </si>
  <si>
    <t xml:space="preserve">  Q1.  Calculate the GROSS SALARY for each employee. Bonus slab: Experience &lt; 3 yrs = 8% of basic | 3–7 yrs = 12% | above 7 yrs = 18%. Use a nested IF formula.</t>
  </si>
  <si>
    <t>Expected Formula: =F11*(1+IF(E11&lt;3,8%,IF(E11&lt;=7,12%,18%))). Fail signal: hardcoding bonus percentages. Strong candidate: puts slab percentages in a separate reference table and uses VLOOKUP/IFS to make it dynamic. This is scalable thinking.</t>
  </si>
  <si>
    <t xml:space="preserve">  Q2.  Calculate the ATTRITION RATE by department. Use COUNTIFS to count resigned employees per department vs total per department.</t>
  </si>
  <si>
    <t>Expected Formula: Resigned count: =COUNTIFS(C$11:C$30,C11,H$11:H$30,'Resigned'). Total: =COUNTIF(C$11:C$30,C11). Rate: =resigned/total. Strong: creates a summary pivot table on the side. This is a must-have skill for any HR analytics role.</t>
  </si>
  <si>
    <t xml:space="preserve">  Q3.  The company deducts TDS (Income Tax) as follows: Basic salary up to ₹50,000/month = 0% | ₹50,001-1,00,000 = 10% | Above ₹1,00,000 = 20%. Write the formula to calculate monthly TDS.</t>
  </si>
  <si>
    <t>Expected Formula: =IF(F11&lt;=50000,0,IF(F11&lt;=100000,(F11-50000)*10%,(F11-100000)*20%+5000)). Key test: do they correctly apply marginal slabs (not flat rate on full salary)? 65% of candidates apply flat rate — this is wrong and shows they don't understand tax logic.</t>
  </si>
  <si>
    <t xml:space="preserve">  Q4.  Find the AVERAGE salary by Gender and by Department separately. Which function handles multi-condition averaging?</t>
  </si>
  <si>
    <t>Expected Formula: Gender avg: =AVERAGEIF(I$11:I$30,'F',F$11:F$30). Dept avg: =AVERAGEIFS(F$11:F$30,C$11:C$30,'Engineering'). Bonus: builds a cross-tab summary table. AVERAGEIFS vs AVERAGEIF distinction is important.</t>
  </si>
  <si>
    <t xml:space="preserve">  Q5.  Identify employees who have been with the company for MORE than 5 years but are still on basic salary below ₹80,000 — these are potential attrition risks. Flag them.</t>
  </si>
  <si>
    <t>Expected Formula: =IF(AND(E11&gt;5,F11&lt;80000),'ATTRITION RISK','OK'). Strong: uses conditional formatting to highlight in red. Outstanding: calculates risk score as =(E11/10)*(1-F11/200000) to quantify risk. Shows business thinking beyond formulas.</t>
  </si>
  <si>
    <t xml:space="preserve">  Q6.  Create a formula to calculate the EMPLOYEE TENURE in complete years from their Joining Date to today. Handle the edge case where Joining Date column might be text instead of a real date.</t>
  </si>
  <si>
    <t>Expected Formula: =DATEDIF(G11,TODAY(),'Y'). Edge case handling: =IFERROR(DATEDIF(DATEVALUE(G11),TODAY(),'Y'),'Invalid Date'). Red flag: uses TODAY()-G11/365 — this ignores leap years and is inaccurate. This question filters candidates who know Excel date internals.</t>
  </si>
  <si>
    <t xml:space="preserve">  SCORING RUBRIC</t>
  </si>
  <si>
    <t>Q3 + Q6 both correct (tax logic + date edge case)</t>
  </si>
  <si>
    <t>TOP HIRE — Rare analytical depth. Invite for final round immediately.</t>
  </si>
  <si>
    <t>Q1 + Q2 + Q4 correct, Q3 partially wrong</t>
  </si>
  <si>
    <t>HIRE — Strong HR analytics profile. Coach on tax slab logic.</t>
  </si>
  <si>
    <t>Only Q1 and Q4 correct</t>
  </si>
  <si>
    <t>MAYBE — Knows basics. Missing depth. Give a take-home test.</t>
  </si>
  <si>
    <t>Less than 3 or used hardcoded values anywhere</t>
  </si>
  <si>
    <t>NO HIRE — Cannot handle real HR data complexity.</t>
  </si>
  <si>
    <t>CASE STUDY 3 — INVENTORY &amp; SUPPLY CHAIN MANAGEMENT</t>
  </si>
  <si>
    <t>Interviewer Perspective | Frequently used at Amazon, Flipkart, Reliance Retail, FMCG companies | Difficulty: ★★★★☆</t>
  </si>
  <si>
    <t xml:space="preserve">  In supply chain roles at Amazon and Reliance, inventory analysis IS the job. I designed this case after watching candidates crumble on the reorder point question — it requires combining business logic with Excel. The pivot table question separates junior from senior candidates. A senior analyst builds a dynamic pivot WITH slicers. A junior analyst just builds a static table. The difference is 2 minutes of work but reveals 3 years of experience.</t>
  </si>
  <si>
    <t xml:space="preserve">  You are an Inventory Analyst at QuickMart (an e-commerce company). The warehouse manager needs a daily stock report. The table below shows 20 SKUs (Stock Keeping Units) with current stock, daily sales rate, lead time, and supplier info. Your job is to build all analysis using Excel — the report goes to the CEO in 90 minutes.</t>
  </si>
  <si>
    <t xml:space="preserve">  DATASET — SKU Inventory Table</t>
  </si>
  <si>
    <t>SKU ID</t>
  </si>
  <si>
    <t>Product Name</t>
  </si>
  <si>
    <t>Category</t>
  </si>
  <si>
    <t>Current Stock</t>
  </si>
  <si>
    <t>Daily Sales Rate</t>
  </si>
  <si>
    <t>Lead Time (days)</t>
  </si>
  <si>
    <t>Unit Cost (₹)</t>
  </si>
  <si>
    <t>Reorder Point</t>
  </si>
  <si>
    <t>Supplier</t>
  </si>
  <si>
    <t>Last Restocked</t>
  </si>
  <si>
    <t>SKU001</t>
  </si>
  <si>
    <t>Laptop 15inch</t>
  </si>
  <si>
    <t>Electronics</t>
  </si>
  <si>
    <t>TechSupply Co</t>
  </si>
  <si>
    <t>2025-01-15</t>
  </si>
  <si>
    <t>SKU002</t>
  </si>
  <si>
    <t>Wireless Mouse</t>
  </si>
  <si>
    <t>2025-02-01</t>
  </si>
  <si>
    <t>SKU003</t>
  </si>
  <si>
    <t>Office Chair</t>
  </si>
  <si>
    <t>Furniture</t>
  </si>
  <si>
    <t>FurniturePro</t>
  </si>
  <si>
    <t>2025-01-20</t>
  </si>
  <si>
    <t>SKU004</t>
  </si>
  <si>
    <t>A4 Paper Ream</t>
  </si>
  <si>
    <t>Stationery</t>
  </si>
  <si>
    <t>PaperMart</t>
  </si>
  <si>
    <t>2025-02-10</t>
  </si>
  <si>
    <t>SKU005</t>
  </si>
  <si>
    <t>USB-C Hub</t>
  </si>
  <si>
    <t>2025-01-28</t>
  </si>
  <si>
    <t>SKU006</t>
  </si>
  <si>
    <t>Standing Desk</t>
  </si>
  <si>
    <t>2024-12-15</t>
  </si>
  <si>
    <t>SKU007</t>
  </si>
  <si>
    <t>Pen Box (12pc)</t>
  </si>
  <si>
    <t>2025-02-08</t>
  </si>
  <si>
    <t>SKU008</t>
  </si>
  <si>
    <t>27inch Monitor</t>
  </si>
  <si>
    <t>2025-01-10</t>
  </si>
  <si>
    <t>SKU009</t>
  </si>
  <si>
    <t>Notebook A5</t>
  </si>
  <si>
    <t>2025-02-12</t>
  </si>
  <si>
    <t>SKU010</t>
  </si>
  <si>
    <t>Ergonomic Keyboard</t>
  </si>
  <si>
    <t>2025-01-30</t>
  </si>
  <si>
    <t>SKU011</t>
  </si>
  <si>
    <t>Whiteboard 4x3</t>
  </si>
  <si>
    <t>2025-01-05</t>
  </si>
  <si>
    <t>SKU012</t>
  </si>
  <si>
    <t>HDMI Cable</t>
  </si>
  <si>
    <t>2025-02-05</t>
  </si>
  <si>
    <t>SKU013</t>
  </si>
  <si>
    <t>Stapler</t>
  </si>
  <si>
    <t>2025-02-03</t>
  </si>
  <si>
    <t>SKU014</t>
  </si>
  <si>
    <t>Webcam HD</t>
  </si>
  <si>
    <t>2025-01-22</t>
  </si>
  <si>
    <t>SKU015</t>
  </si>
  <si>
    <t>Filing Cabinet</t>
  </si>
  <si>
    <t>2024-11-30</t>
  </si>
  <si>
    <t>SKU016</t>
  </si>
  <si>
    <t>Headset</t>
  </si>
  <si>
    <t>2025-01-25</t>
  </si>
  <si>
    <t>SKU017</t>
  </si>
  <si>
    <t>Sticky Notes</t>
  </si>
  <si>
    <t>2025-02-11</t>
  </si>
  <si>
    <t>SKU018</t>
  </si>
  <si>
    <t>Laser Printer</t>
  </si>
  <si>
    <t>2025-01-08</t>
  </si>
  <si>
    <t>SKU019</t>
  </si>
  <si>
    <t>Bookshelf</t>
  </si>
  <si>
    <t>2024-12-20</t>
  </si>
  <si>
    <t>SKU020</t>
  </si>
  <si>
    <t>Toner Cartridge</t>
  </si>
  <si>
    <t>2025-02-07</t>
  </si>
  <si>
    <t xml:space="preserve">  Q1.  Calculate the REORDER POINT for each SKU using the formula: Reorder Point = Daily Sales Rate × Lead Time. Compare it with the given Reorder Point column — are they consistent?</t>
  </si>
  <si>
    <t>Expected Formula: =E11*F11. Then compare with H11: =IF(E11*F11=H11,'Consistent','MISMATCH - Check!'). Strong candidate: spots anomalies in the given reorder points (some are wrong in dataset) and flags them for investigation. This tests data auditing skills.</t>
  </si>
  <si>
    <t xml:space="preserve">  Q2.  Identify all SKUs that are BELOW their reorder point right now (Current Stock &lt; Reorder Point). These need URGENT restocking. Create a flag column.</t>
  </si>
  <si>
    <t>Expected Formula: =IF(D11&lt;H11,'REORDER URGENT','Stock OK'). Strong: adds a conditional formatting rule to paint urgent rows red automatically. Outstanding: calculates days until stockout: =IF(E11&gt;0,D11/E11,'No Sales') and flags items with &lt;7 days left.</t>
  </si>
  <si>
    <t xml:space="preserve">  Q3.  Calculate the TOTAL INVENTORY VALUE (Current Stock × Unit Cost) for each SKU. Which category has the highest total inventory value? Use SUMIF.</t>
  </si>
  <si>
    <t>Expected Formulas: Value per SKU: =D11*G11. Category total: =SUMIF(C$11:C$30,'Electronics',K$11:K$30). Strong: builds a mini category summary table. This tests whether candidates think beyond a single formula to a complete analysis.</t>
  </si>
  <si>
    <t xml:space="preserve">  Q4.  Using a formula, calculate how many DAYS OF STOCK REMAINING for each SKU. Flag items with less than 7 days remaining as 'CRITICAL'. Handle SKUs with zero daily sales (division by zero).</t>
  </si>
  <si>
    <t>Expected Formula: =IFERROR(IF(E11=0,'No Movement',IF(D11/E11&lt;7,'CRITICAL - '&amp;ROUND(D11/E11,0)&amp;' days',ROUND(D11/E11,0)&amp;' days OK')),'Error'). Key test: IFERROR for zero division AND meaningful text output. This question shows whether the candidate codes defensively.</t>
  </si>
  <si>
    <t xml:space="preserve">  Q5.  The warehouse wants to know the supplier with the MOST SKUs below reorder point. Write a formula to find this supplier name — without using a pivot table.</t>
  </si>
  <si>
    <t>Expected Approach: First build a helper column flagging below-reorder SKUs (0 or 1). Then: =INDEX(I11:I30,MATCH(MAX(COUNTIFS(I11:I30,I11:I30,D11:D30,'&lt;'&amp;H11:H30)),COUNTIFS(I11:I30,I11:I30,D11:D30,'&lt;'&amp;H11:H30),0)). This is advanced. Most candidates need a hint — acceptable. Tests whether they can combine array-style logic.</t>
  </si>
  <si>
    <t xml:space="preserve">  Q6.  Build a SUMMARY TABLE (manually or with pivot) showing: Total SKUs, Total Inventory Value, Average Lead Time, and Count of Critical SKUs — broken down by Category.</t>
  </si>
  <si>
    <t>Expected: Builds a 4-row summary using COUNTIF, SUMIFS, AVERAGEIF, COUNTIFS. Outstanding: inserts an actual Pivot Table (Insert &gt; PivotTable) and adds a slicer for Category. This is the most business-relevant task in the set — shows if the candidate thinks like an analyst or just a formula writer.</t>
  </si>
  <si>
    <t>Q4 + Q6 both done correctly (defensive coding + pivot)</t>
  </si>
  <si>
    <t>TOP HIRE — Operational analyst mindset. Rare in freshers.</t>
  </si>
  <si>
    <t>Q1 to Q4 correct, Q5 attempted</t>
  </si>
  <si>
    <t>HIRE — Strong inventory analyst. Will perform well.</t>
  </si>
  <si>
    <t>Q1 to Q3 correct only</t>
  </si>
  <si>
    <t>MAYBE — Basic skills present. Needs mentoring on complex logic.</t>
  </si>
  <si>
    <t>Couldn't handle zero division in Q4</t>
  </si>
  <si>
    <t>NO HIRE — Will cause production errors. Defensive coding is non-negotiable.</t>
  </si>
  <si>
    <t>CASE STUDY 4 — FINANCIAL P&amp;L &amp; DASHBOARD ANALYSIS</t>
  </si>
  <si>
    <t>Interviewer Perspective | Used in Finance Analyst, FP&amp;A, Investment roles at Apple, Goldman Sachs, HDFC, Deloitte | Difficulty: ★★★★★</t>
  </si>
  <si>
    <t xml:space="preserve">  This is my premium case study — I only use it for Finance Analyst, FP&amp;A, and Senior roles. In my Apple tenure, every finance hire was expected to build a dynamic P&amp;L model from scratch in 45 minutes. The goal is not just formulas — it's financial thinking. Does the candidate question the data? Do they spot the negative margin in Q2? Do they build scenario sensitivity? These are the signals I look for. 80% of candidates miss the YoY growth formula edge case.</t>
  </si>
  <si>
    <t xml:space="preserve">  You are a Financial Analyst at TechVision Ltd. The CFO needs a quarterly P&amp;L summary and key financial ratios for the board deck. The data below contains monthly revenue and cost figures for FY 2024-25. You have 45 minutes. Build the complete analysis using Excel formulas.</t>
  </si>
  <si>
    <t xml:space="preserve">  DATASET — Monthly P&amp;L Data FY 2024-25</t>
  </si>
  <si>
    <t>Month</t>
  </si>
  <si>
    <t>Business Unit</t>
  </si>
  <si>
    <t>Revenue (₹L)</t>
  </si>
  <si>
    <t>COGS (₹L)</t>
  </si>
  <si>
    <t>Gross Profit (₹L)</t>
  </si>
  <si>
    <t>OpEx (₹L)</t>
  </si>
  <si>
    <t>EBITDA (₹L)</t>
  </si>
  <si>
    <t>Tax Rate</t>
  </si>
  <si>
    <t>Net Profit (₹L)</t>
  </si>
  <si>
    <t>Quarter</t>
  </si>
  <si>
    <t>Apr 2024</t>
  </si>
  <si>
    <t>Q1</t>
  </si>
  <si>
    <t>May 2024</t>
  </si>
  <si>
    <t>Jun 2024</t>
  </si>
  <si>
    <t>Jul 2024</t>
  </si>
  <si>
    <t>Q2</t>
  </si>
  <si>
    <t>Aug 2024</t>
  </si>
  <si>
    <t>Sep 2024</t>
  </si>
  <si>
    <t>Oct 2024</t>
  </si>
  <si>
    <t>Q3</t>
  </si>
  <si>
    <t>Nov 2024</t>
  </si>
  <si>
    <t>Dec 2024</t>
  </si>
  <si>
    <t>Jan 2025</t>
  </si>
  <si>
    <t>Q4</t>
  </si>
  <si>
    <t>Feb 2025</t>
  </si>
  <si>
    <t>Mar 2025</t>
  </si>
  <si>
    <t xml:space="preserve">  Q1.  Calculate Gross Profit Margin % and Net Profit Margin % for each month. Which month had the LOWEST gross margin and why do you think that happened?</t>
  </si>
  <si>
    <t>Expected Formulas: Gross Margin%: =(C11-D11)/C11. Net Margin%: =I11/C11. Lowest: =INDEX(A11:A22,MATCH(MIN((C11:C22-D11:D22)/C11:C22),(C11:C22-D11:D22)/C11:C22,0)). Strong candidate: spots Feb 2025 (Hardware) has negative EBITDA and raises it as a business concern. This is financial intuition, not just formula writing.</t>
  </si>
  <si>
    <t xml:space="preserve">  Q2.  Build a Quarterly P&amp;L Summary showing Total Revenue, Total COGS, Gross Profit, Total OpEx, EBITDA, and Net Profit for each quarter (Q1 to Q4).</t>
  </si>
  <si>
    <t>Expected Formula: =SUMIFS(C$11:C$22,J$11:J$22,'Q1') for each metric. Strong: builds this as a proper summary table with formatting. Outstanding: adds QoQ growth %: =(Q2_Rev - Q1_Rev)/Q1_Rev. This question reveals whether the candidate can think in reporting structures, not just rows.</t>
  </si>
  <si>
    <t xml:space="preserve">  Q3.  Calculate Year-over-Year (YoY) growth rate for Total Revenue. Handle the edge case where prior year value could be zero or negative.</t>
  </si>
  <si>
    <t>Expected Formula: =IFERROR(IF(PriorYear&lt;=0,'N/A (Base Year Issue)',(CurrentYear-PriorYear)/ABS(PriorYear)),'Error'). Key test: most candidates use (New-Old)/Old which fails on zero/negative base. This is the #1 formula error I see in finance interviews. The ABS() in denominator is the distinguishing answer.</t>
  </si>
  <si>
    <t xml:space="preserve">  Q4.  The CFO wants to know which BUSINESS UNIT is most profitable. Calculate the average Net Profit margin per Business Unit using AVERAGEIFS.</t>
  </si>
  <si>
    <t>Expected Formula: =AVERAGEIFS(I$11:I$22,B$11:B$22,'Cloud') / AVERAGEIFS(C$11:C$22,B$11:B$22,'Cloud'). Strong: builds a 3-row business unit comparison table (Software/Hardware/Cloud) with margin %, total revenue, and profit ranking.</t>
  </si>
  <si>
    <t xml:space="preserve">  Q5.  Apply CONDITIONAL FORMATTING to the Net Profit column to highlight: Negative values in RED, values between 0-50L in YELLOW, values above 50L in GREEN. Explain your rule logic.</t>
  </si>
  <si>
    <t>Expected: Three CF rules using 'Format cells that are' with value thresholds. Strong candidate: uses a formula-based rule for flexibility: =I11&lt;0 for red, =AND(I11&gt;=0,I11&lt;=50) for yellow, =I11&gt;50 for green. Outstanding: mentions 3-color scale as an alternative. Tests whether they know CF is a presentation skill, not just formatting.</t>
  </si>
  <si>
    <t xml:space="preserve">  Q6.  Build a simple BREAK-EVEN ANALYSIS: If fixed costs are ₹200L/year and variable cost per unit of revenue is 45%, at what minimum monthly revenue does TechVision break even? Use Goal Seek or a formula.</t>
  </si>
  <si>
    <t>Expected Formula approach: Break-even Rev = Fixed Cost / (1 - Variable Cost%) = 200/(1-0.45) = ₹363.6L. Excel formula: =200/(1-0.45). Goal Seek approach: set Net Profit cell to 0, change Revenue cell. Strong: builds a sensitivity table with different variable cost assumptions. This question tests if the candidate understands business fundamentals, not just Excel.</t>
  </si>
  <si>
    <t>Spotted negative margin + handled Q3 edge case</t>
  </si>
  <si>
    <t>TOP HIRE — Finance + Excel mastery. Hire at senior level.</t>
  </si>
  <si>
    <t>Q1 to Q4 correct, Q3 partially wrong</t>
  </si>
  <si>
    <t>HIRE — Solid FP&amp;A candidate. Coach on negative base year logic.</t>
  </si>
  <si>
    <t>Q1 and Q2 only, didn't attempt break-even</t>
  </si>
  <si>
    <t>MAYBE — Junior analyst potential. Lacks business thinking.</t>
  </si>
  <si>
    <t>Used (New-Old)/Old without handling zero/negative</t>
  </si>
  <si>
    <t>NO HIRE FOR FINANCE ROLES — Will produce wrong reports for executives.</t>
  </si>
  <si>
    <t>CASE STUDY 5 — DATA CLEANING &amp; DASHBOARD BUILDING</t>
  </si>
  <si>
    <t>Interviewer Perspective | Used for Data Analyst, BI Analyst, Operations roles at Google, Microsoft, Swiggy, Zomato | Difficulty: ★★★★★</t>
  </si>
  <si>
    <t xml:space="preserve">  This is the most REAL case study I give. At Google and Microsoft, 80% of a data analyst's time is spent cleaning data — not building dashboards. I intentionally put dirty data in this table: extra spaces, inconsistent date formats, mixed-case text, a duplicate row, a negative revenue entry. A great candidate finds ALL issues before writing a single formula. I call this the Detective Test. I have hired people who found 6 of 7 issues over people who immediately jumped to formulas and found 0.</t>
  </si>
  <si>
    <t xml:space="preserve">  You are a Data Analyst at FoodRush (a food delivery startup). The operations team exported customer order data from their CRM. The raw data is INTENTIONALLY DIRTY — it contains errors that are common in real exports. Your tasks: (1) Identify and document all data quality issues, (2) Clean the data using formulas, (3) Build summary analysis, (4) Describe what dashboard you would build from this data.</t>
  </si>
  <si>
    <t xml:space="preserve">  DATASET — Raw Customer Orders (INTENTIONALLY DIRTY — find all issues!)</t>
  </si>
  <si>
    <t>Order ID</t>
  </si>
  <si>
    <t>Customer Name</t>
  </si>
  <si>
    <t>Order Date</t>
  </si>
  <si>
    <t>Revenue (₹)</t>
  </si>
  <si>
    <t>Delivery Days</t>
  </si>
  <si>
    <t>Platform</t>
  </si>
  <si>
    <t>Rating</t>
  </si>
  <si>
    <t>ORD001</t>
  </si>
  <si>
    <t xml:space="preserve">  Rahul Sharma</t>
  </si>
  <si>
    <t>2024-01-15</t>
  </si>
  <si>
    <t>Food</t>
  </si>
  <si>
    <t>Delivered</t>
  </si>
  <si>
    <t>App</t>
  </si>
  <si>
    <t>ORD002</t>
  </si>
  <si>
    <t>priya singh</t>
  </si>
  <si>
    <t>15/01/2024</t>
  </si>
  <si>
    <t>Grocery</t>
  </si>
  <si>
    <t>Web</t>
  </si>
  <si>
    <t>ORD003</t>
  </si>
  <si>
    <t>AMIT KUMAR</t>
  </si>
  <si>
    <t>2024-01-16</t>
  </si>
  <si>
    <t>ORD004</t>
  </si>
  <si>
    <t>Cancelled</t>
  </si>
  <si>
    <t>ORD005</t>
  </si>
  <si>
    <t>Vikram Patel</t>
  </si>
  <si>
    <t>2024-01-17</t>
  </si>
  <si>
    <t>ORD006</t>
  </si>
  <si>
    <t>neha  joshi</t>
  </si>
  <si>
    <t>Jan 17 2024</t>
  </si>
  <si>
    <t>Pharmacy</t>
  </si>
  <si>
    <t>ORD007</t>
  </si>
  <si>
    <t>2024-01-18</t>
  </si>
  <si>
    <t>Pending</t>
  </si>
  <si>
    <t>ORD008</t>
  </si>
  <si>
    <t xml:space="preserve">  Kavya Nair  </t>
  </si>
  <si>
    <t>ORD009</t>
  </si>
  <si>
    <t>Arjun Kapoor</t>
  </si>
  <si>
    <t>2024-01-19</t>
  </si>
  <si>
    <t>ORD010</t>
  </si>
  <si>
    <t>Divya reddy</t>
  </si>
  <si>
    <t>ORD012</t>
  </si>
  <si>
    <t>2024-01-20</t>
  </si>
  <si>
    <t>ORD013</t>
  </si>
  <si>
    <t>ORD014</t>
  </si>
  <si>
    <t>2024-01-21</t>
  </si>
  <si>
    <t>ORD015</t>
  </si>
  <si>
    <t>21-01-2024</t>
  </si>
  <si>
    <t>ORD016</t>
  </si>
  <si>
    <t>2024-01-22</t>
  </si>
  <si>
    <t>ORD017</t>
  </si>
  <si>
    <t>Deepak malhotra</t>
  </si>
  <si>
    <t>ORD018</t>
  </si>
  <si>
    <t>2024-01-23</t>
  </si>
  <si>
    <t>ORD019</t>
  </si>
  <si>
    <t>ORD020</t>
  </si>
  <si>
    <t>2024-01-24</t>
  </si>
  <si>
    <t xml:space="preserve">  DATA QUALITY ISSUES LOG — Find and document all issues (Interviewer expects at least 7)</t>
  </si>
  <si>
    <t>Issue #</t>
  </si>
  <si>
    <t>Row</t>
  </si>
  <si>
    <t>Column</t>
  </si>
  <si>
    <t>Issue Type</t>
  </si>
  <si>
    <t>What's Wrong</t>
  </si>
  <si>
    <t>How to Fix in Excel</t>
  </si>
  <si>
    <t>Row 11</t>
  </si>
  <si>
    <t>Leading Spaces</t>
  </si>
  <si>
    <t>'  Rahul Sharma' has 2 leading spaces</t>
  </si>
  <si>
    <t>Row 12</t>
  </si>
  <si>
    <t>Inconsistent Case</t>
  </si>
  <si>
    <t>'priya singh' — lowercase while rest are Proper Case</t>
  </si>
  <si>
    <t>Row 13</t>
  </si>
  <si>
    <t>ALL CAPS</t>
  </si>
  <si>
    <t>'AMIT KUMAR' — all uppercase inconsistency</t>
  </si>
  <si>
    <t>Wrong Date Format</t>
  </si>
  <si>
    <t>'15/01/2024' — DD/MM/YYYY instead of YYYY-MM-DD</t>
  </si>
  <si>
    <t>Row 14</t>
  </si>
  <si>
    <t>Revenue</t>
  </si>
  <si>
    <t>Negative Revenue</t>
  </si>
  <si>
    <t>Revenue = -200 — logically impossible for an order</t>
  </si>
  <si>
    <t>Flag with =IF(E14&lt;0,'ERROR: Negative Revenue',E14)</t>
  </si>
  <si>
    <t>Row 21</t>
  </si>
  <si>
    <t>Duplicate Row</t>
  </si>
  <si>
    <t>ORD002 appears twice — exact duplicate of Row 12</t>
  </si>
  <si>
    <t>Use Data &gt; Remove Duplicates or COUNTIF to flag: =IF(COUNTIF(A$11:A11,A21)&gt;1,'DUPLICATE','OK')</t>
  </si>
  <si>
    <t>Row 23</t>
  </si>
  <si>
    <t>Missing Value</t>
  </si>
  <si>
    <t>Revenue is blank/NULL for ORD013</t>
  </si>
  <si>
    <t>Row 25</t>
  </si>
  <si>
    <t>'21-01-2024' uses dashes instead of standard format</t>
  </si>
  <si>
    <t>Row 19</t>
  </si>
  <si>
    <t>Potential Outlier</t>
  </si>
  <si>
    <t>Revenue ₹12,000 vs average ~₹900 — possible data entry error</t>
  </si>
  <si>
    <t>Use =ABS(E19-AVERAGE(E11:E30))/STDEV(E11:E30) — Z-score &gt;3 = outlier</t>
  </si>
  <si>
    <t>Multiple</t>
  </si>
  <si>
    <t>Missing Ratings</t>
  </si>
  <si>
    <t>Several 'Pending' and 'Cancelled' orders have no rating — expected</t>
  </si>
  <si>
    <t xml:space="preserve">  Q1.  Before writing any formula — list ALL data quality issues you can spot in this dataset. You have 5 minutes. I will grade both completeness and the order you found them.</t>
  </si>
  <si>
    <t>Interviewer expectation: Minimum 6 issues found in 5 min = acceptable. 8-10 found = excellent. ORDER matters — good analysts check schema first (data types, formats), then values (negatives, nulls), then logic (duplicates, outliers). Candidates who jump to formulas first and miss duplicate row = fail. This is the Detective Test.</t>
  </si>
  <si>
    <t xml:space="preserve">  Q2.  Clean the Customer Name column: remove extra spaces, fix inconsistent capitalisation. What three formulas would you combine?</t>
  </si>
  <si>
    <t>Expected Formula: =PROPER(TRIM(B11)). Chain: TRIM removes spaces, PROPER fixes case. Strong: mentions that TRIM removes leading/trailing and normalises internal spaces to single space. Outstanding: uses SUBSTITUTE to remove non-breaking spaces too: =PROPER(TRIM(SUBSTITUTE(B11,CHAR(160),' ')))</t>
  </si>
  <si>
    <t xml:space="preserve">  Q3.  Standardise all Order Dates to YYYY-MM-DD format. Some dates are text ('15/01/2024', 'Jan 17 2024', '21-01-2024'). How do you handle all three formats?</t>
  </si>
  <si>
    <t>Expected: Three different conversion formulas for each format. Key insight: DATEVALUE converts text-dates but is format-sensitive. Strong: wraps in IFERROR to catch formats that fail. Outstanding: suggests using a helper column to detect the format first using FIND('/') or FIND('-') then choosing the right conversion. Real-world thinking.</t>
  </si>
  <si>
    <t xml:space="preserve">  Q4.  Calculate: (a) Total revenue by Category (b) Average delivery days by City (c) % of orders by Status. Build a clean summary table.</t>
  </si>
  <si>
    <t>Expected Formulas: Revenue by cat: =SUMIF(F$11:F$30,F11,E$11:E$30). Avg delivery: =AVERAGEIF(C$11:C$30,C11,G$11:G$30). Status %: =COUNTIF(H$11:H$30,'Delivered')/COUNTA(H$11:H$30). Strong: builds a proper summary table on the right side of sheet. Outstanding: uses a Pivot Table.</t>
  </si>
  <si>
    <t xml:space="preserve">  Q5.  You found a duplicate row and a negative revenue entry. Write the formulas to: (a) Flag all duplicates and (b) Replace negative revenues with the text 'Data Error' without deleting any rows.</t>
  </si>
  <si>
    <t>Expected: Duplicate flag: =IF(COUNTIF(A$11:A11,A11)&gt;1,'DUPLICATE','OK'). Note: uses expanding range A$11:A11 — this is key. Negative revenue: =IF(E11&lt;0,'DATA ERROR',E11). Common mistake: COUNTIF(A$11:A$30,A11)&gt;1 marks BOTH rows as duplicate — wrong. The expanding range pattern marks only the second occurrence.</t>
  </si>
  <si>
    <t xml:space="preserve">  Q6.  Describe the DASHBOARD you would build from this cleaned data. What 5 charts/KPIs would you include and why? (This is a business thinking question — no formula needed.)</t>
  </si>
  <si>
    <t>Expected answer structure: KPI Cards: Total Orders, Total Revenue, Avg Rating, Delivery Success Rate. Charts: Bar chart - Revenue by Category | Line chart - Orders by Date (trend) | Pie chart - Orders by Platform (App vs Web) | Map - Revenue by City | Bar chart - Avg Delivery Days by City. Strong: mentions slicers for Date range, City, Category filtering. Outstanding: describes a specific insight from the dirty data — e.g. Electronics has high revenue but longest delivery times — that should drive a business recommendation.</t>
  </si>
  <si>
    <t xml:space="preserve">  SCORING RUBRIC — The Detective Test</t>
  </si>
  <si>
    <t>Found 8+ issues in Q1 AND handled Q5 expanding range correctly</t>
  </si>
  <si>
    <t>TOP HIRE — Senior Data Analyst or above. Exceptional rare profile.</t>
  </si>
  <si>
    <t>Found 6 issues + Q2 to Q4 correct</t>
  </si>
  <si>
    <t>HIRE — Strong data analyst. Will perform independently.</t>
  </si>
  <si>
    <t>Found &lt; 4 issues OR missed duplicate row</t>
  </si>
  <si>
    <t>MAYBE — Needs training on data quality thinking. Re-interview in 3 months.</t>
  </si>
  <si>
    <t>Jumped to formulas in Q1 without listing issues first</t>
  </si>
  <si>
    <t>NO HIRE — Dangerous analyst. Will miss data quality issues in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</si>
</sst>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5A623"/>
      <name val="Calibri"/>
      <family val="2"/>
    </font>
    <font>
      <i/>
      <sz val="9"/>
      <color rgb="FFCCDDEE"/>
      <name val="Calibri"/>
      <family val="2"/>
    </font>
    <font>
      <b/>
      <sz val="10"/>
      <color rgb="FFF5A623"/>
      <name val="Calibri"/>
      <family val="2"/>
    </font>
    <font>
      <i/>
      <sz val="9"/>
      <color rgb="FFFFFFFF"/>
      <name val="Calibri"/>
      <family val="2"/>
    </font>
    <font>
      <b/>
      <sz val="11"/>
      <color rgb="FFFFFFFF"/>
      <name val="Calibri"/>
      <family val="2"/>
    </font>
    <font>
      <sz val="10"/>
      <color rgb="FF1A1A2E"/>
      <name val="Calibri"/>
      <family val="2"/>
    </font>
    <font>
      <b/>
      <sz val="9"/>
      <color rgb="FFFFFFFF"/>
      <name val="Calibri"/>
      <family val="2"/>
    </font>
    <font>
      <sz val="9"/>
      <color rgb="FF1A1A2E"/>
      <name val="Calibri"/>
      <family val="2"/>
    </font>
    <font>
      <b/>
      <sz val="10"/>
      <color rgb="FF1A1A2E"/>
      <name val="Calibri"/>
      <family val="2"/>
    </font>
    <font>
      <b/>
      <sz val="9"/>
      <color rgb="FF0F3460"/>
      <name val="Calibri"/>
      <family val="2"/>
    </font>
    <font>
      <i/>
      <sz val="9"/>
      <color rgb="FF1B4F72"/>
      <name val="Calibri"/>
      <family val="2"/>
    </font>
    <font>
      <b/>
      <sz val="11"/>
      <color rgb="FFF5A623"/>
      <name val="Calibri"/>
      <family val="2"/>
    </font>
    <font>
      <b/>
      <sz val="9"/>
      <color rgb="FF1A1A2E"/>
      <name val="Calibri"/>
      <family val="2"/>
    </font>
    <font>
      <i/>
      <sz val="9"/>
      <color rgb="FF1A1A2E"/>
      <name val="Calibri"/>
      <family val="2"/>
    </font>
    <font>
      <b/>
      <sz val="9"/>
      <name val="Calibri"/>
      <family val="2"/>
    </font>
    <font>
      <i/>
      <sz val="9"/>
      <name val="Calibri"/>
      <family val="2"/>
    </font>
  </fonts>
  <fills count="18">
    <fill>
      <patternFill patternType="none"/>
    </fill>
    <fill>
      <patternFill patternType="gray125"/>
    </fill>
    <fill>
      <patternFill patternType="solid">
        <fgColor rgb="FF1A1A2E"/>
      </patternFill>
    </fill>
    <fill>
      <patternFill patternType="solid">
        <fgColor rgb="FF0F3460"/>
      </patternFill>
    </fill>
    <fill>
      <patternFill patternType="solid">
        <fgColor rgb="FF546E7A"/>
      </patternFill>
    </fill>
    <fill>
      <patternFill patternType="solid">
        <fgColor rgb="FF16213E"/>
      </patternFill>
    </fill>
    <fill>
      <patternFill patternType="solid">
        <fgColor rgb="FFF8F9FA"/>
      </patternFill>
    </fill>
    <fill>
      <patternFill patternType="solid">
        <fgColor rgb="FF2980B9"/>
      </patternFill>
    </fill>
    <fill>
      <patternFill patternType="solid">
        <fgColor rgb="FFFFFFFF"/>
      </patternFill>
    </fill>
    <fill>
      <patternFill patternType="solid">
        <fgColor rgb="FFE94560"/>
      </patternFill>
    </fill>
    <fill>
      <patternFill patternType="solid">
        <fgColor rgb="FFFFFDE7"/>
      </patternFill>
    </fill>
    <fill>
      <patternFill patternType="solid">
        <fgColor rgb="FFEBF5FB"/>
      </patternFill>
    </fill>
    <fill>
      <patternFill patternType="solid">
        <fgColor rgb="FF2BC0A0"/>
      </patternFill>
    </fill>
    <fill>
      <patternFill patternType="solid">
        <fgColor rgb="FFA9DFAD"/>
      </patternFill>
    </fill>
    <fill>
      <patternFill patternType="solid">
        <fgColor rgb="FFFDE8A0"/>
      </patternFill>
    </fill>
    <fill>
      <patternFill patternType="solid">
        <fgColor rgb="FFF1948A"/>
      </patternFill>
    </fill>
    <fill>
      <patternFill patternType="solid">
        <fgColor rgb="FFFFE0E0"/>
      </patternFill>
    </fill>
    <fill>
      <patternFill patternType="solid">
        <fgColor rgb="FFE67E22"/>
      </patternFill>
    </fill>
  </fills>
  <borders count="10">
    <border>
      <left/>
      <right/>
      <top/>
      <bottom/>
      <diagonal/>
    </border>
    <border>
      <left style="thick">
        <color rgb="FF1A1A2E"/>
      </left>
      <right style="thin">
        <color rgb="FFB0BEC5"/>
      </right>
      <top style="thick">
        <color rgb="FF1A1A2E"/>
      </top>
      <bottom style="thin">
        <color rgb="FFB0BEC5"/>
      </bottom>
      <diagonal/>
    </border>
    <border>
      <left style="thin">
        <color rgb="FFB0BEC5"/>
      </left>
      <right style="thin">
        <color rgb="FFB0BEC5"/>
      </right>
      <top style="thick">
        <color rgb="FF1A1A2E"/>
      </top>
      <bottom style="thin">
        <color rgb="FFB0BEC5"/>
      </bottom>
      <diagonal/>
    </border>
    <border>
      <left style="thin">
        <color rgb="FFB0BEC5"/>
      </left>
      <right style="thick">
        <color rgb="FF1A1A2E"/>
      </right>
      <top style="thick">
        <color rgb="FF1A1A2E"/>
      </top>
      <bottom style="thin">
        <color rgb="FFB0BEC5"/>
      </bottom>
      <diagonal/>
    </border>
    <border>
      <left style="thick">
        <color rgb="FF1A1A2E"/>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thick">
        <color rgb="FF1A1A2E"/>
      </right>
      <top style="thin">
        <color rgb="FFB0BEC5"/>
      </top>
      <bottom style="thin">
        <color rgb="FFB0BEC5"/>
      </bottom>
      <diagonal/>
    </border>
    <border>
      <left style="thick">
        <color rgb="FF1A1A2E"/>
      </left>
      <right style="thin">
        <color rgb="FFB0BEC5"/>
      </right>
      <top style="thin">
        <color rgb="FFB0BEC5"/>
      </top>
      <bottom style="thick">
        <color rgb="FF1A1A2E"/>
      </bottom>
      <diagonal/>
    </border>
    <border>
      <left style="thin">
        <color rgb="FFB0BEC5"/>
      </left>
      <right style="thin">
        <color rgb="FFB0BEC5"/>
      </right>
      <top style="thin">
        <color rgb="FFB0BEC5"/>
      </top>
      <bottom style="thick">
        <color rgb="FF1A1A2E"/>
      </bottom>
      <diagonal/>
    </border>
    <border>
      <left style="thin">
        <color rgb="FFB0BEC5"/>
      </left>
      <right style="thick">
        <color rgb="FF1A1A2E"/>
      </right>
      <top style="thin">
        <color rgb="FFB0BEC5"/>
      </top>
      <bottom style="thick">
        <color rgb="FF1A1A2E"/>
      </bottom>
      <diagonal/>
    </border>
  </borders>
  <cellStyleXfs count="1">
    <xf numFmtId="0" fontId="0" fillId="0" borderId="0"/>
  </cellStyleXfs>
  <cellXfs count="75">
    <xf numFmtId="0" fontId="0" fillId="0" borderId="0" xfId="0"/>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6" borderId="4" xfId="0" applyFont="1" applyFill="1" applyBorder="1" applyAlignment="1">
      <alignment horizontal="center" vertical="center"/>
    </xf>
    <xf numFmtId="0" fontId="8" fillId="6" borderId="5" xfId="0" applyFont="1" applyFill="1" applyBorder="1" applyAlignment="1">
      <alignment horizontal="left" vertical="center"/>
    </xf>
    <xf numFmtId="0" fontId="8" fillId="6" borderId="5" xfId="0" applyFont="1" applyFill="1" applyBorder="1" applyAlignment="1">
      <alignment horizontal="center" vertical="center"/>
    </xf>
    <xf numFmtId="0" fontId="8" fillId="6" borderId="5" xfId="0" applyFont="1" applyFill="1" applyBorder="1" applyAlignment="1">
      <alignment horizontal="right" vertical="center"/>
    </xf>
    <xf numFmtId="0" fontId="8" fillId="6" borderId="6"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5" xfId="0" applyFont="1" applyFill="1" applyBorder="1" applyAlignment="1">
      <alignment horizontal="left" vertical="center"/>
    </xf>
    <xf numFmtId="0" fontId="8" fillId="8" borderId="5" xfId="0" applyFont="1" applyFill="1" applyBorder="1" applyAlignment="1">
      <alignment horizontal="center" vertical="center"/>
    </xf>
    <xf numFmtId="0" fontId="8" fillId="8" borderId="5" xfId="0" applyFont="1" applyFill="1" applyBorder="1" applyAlignment="1">
      <alignment horizontal="right" vertical="center"/>
    </xf>
    <xf numFmtId="0" fontId="8" fillId="8" borderId="6" xfId="0" applyFont="1" applyFill="1" applyBorder="1" applyAlignment="1">
      <alignment horizontal="center" vertical="center"/>
    </xf>
    <xf numFmtId="0" fontId="8" fillId="8" borderId="7" xfId="0" applyFont="1" applyFill="1" applyBorder="1" applyAlignment="1">
      <alignment horizontal="center" vertical="center"/>
    </xf>
    <xf numFmtId="0" fontId="8" fillId="8" borderId="8" xfId="0" applyFont="1" applyFill="1" applyBorder="1" applyAlignment="1">
      <alignment horizontal="left" vertical="center"/>
    </xf>
    <xf numFmtId="0" fontId="8" fillId="8" borderId="8" xfId="0" applyFont="1" applyFill="1" applyBorder="1" applyAlignment="1">
      <alignment horizontal="center" vertical="center"/>
    </xf>
    <xf numFmtId="0" fontId="8" fillId="8" borderId="8" xfId="0" applyFont="1" applyFill="1" applyBorder="1" applyAlignment="1">
      <alignment horizontal="right" vertical="center"/>
    </xf>
    <xf numFmtId="0" fontId="8" fillId="8" borderId="9" xfId="0" applyFont="1" applyFill="1" applyBorder="1" applyAlignment="1">
      <alignment horizontal="center" vertical="center"/>
    </xf>
    <xf numFmtId="0" fontId="7" fillId="9"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8" fillId="16" borderId="5" xfId="0" applyFont="1" applyFill="1" applyBorder="1" applyAlignment="1">
      <alignment horizontal="left" vertical="center"/>
    </xf>
    <xf numFmtId="0" fontId="8" fillId="6" borderId="6" xfId="0" applyFont="1" applyFill="1" applyBorder="1" applyAlignment="1">
      <alignment horizontal="right" vertical="center"/>
    </xf>
    <xf numFmtId="0" fontId="8" fillId="16" borderId="5" xfId="0" applyFont="1" applyFill="1" applyBorder="1" applyAlignment="1">
      <alignment horizontal="center" vertical="center"/>
    </xf>
    <xf numFmtId="0" fontId="8" fillId="8" borderId="6" xfId="0" applyFont="1" applyFill="1" applyBorder="1" applyAlignment="1">
      <alignment horizontal="right" vertical="center"/>
    </xf>
    <xf numFmtId="0" fontId="8" fillId="16" borderId="5" xfId="0" applyFont="1" applyFill="1" applyBorder="1" applyAlignment="1">
      <alignment horizontal="right" vertical="center"/>
    </xf>
    <xf numFmtId="0" fontId="8" fillId="16" borderId="4" xfId="0" applyFont="1" applyFill="1" applyBorder="1" applyAlignment="1">
      <alignment horizontal="center" vertical="center"/>
    </xf>
    <xf numFmtId="0" fontId="8" fillId="8" borderId="9" xfId="0" applyFont="1" applyFill="1" applyBorder="1" applyAlignment="1">
      <alignment horizontal="right" vertical="center"/>
    </xf>
    <xf numFmtId="0" fontId="7" fillId="17" borderId="1" xfId="0" applyFont="1" applyFill="1" applyBorder="1" applyAlignment="1">
      <alignment horizontal="center" vertical="center"/>
    </xf>
    <xf numFmtId="0" fontId="7" fillId="17" borderId="2" xfId="0" applyFont="1" applyFill="1" applyBorder="1" applyAlignment="1">
      <alignment horizontal="center" vertical="center"/>
    </xf>
    <xf numFmtId="0" fontId="7" fillId="17" borderId="3" xfId="0" applyFont="1" applyFill="1" applyBorder="1" applyAlignment="1">
      <alignment horizontal="center" vertical="center"/>
    </xf>
    <xf numFmtId="0" fontId="8" fillId="8" borderId="4" xfId="0" applyFont="1" applyFill="1" applyBorder="1" applyAlignment="1">
      <alignment horizontal="left" vertical="center" wrapText="1"/>
    </xf>
    <xf numFmtId="0" fontId="8" fillId="8" borderId="5" xfId="0" applyFont="1" applyFill="1" applyBorder="1" applyAlignment="1">
      <alignment horizontal="left" vertical="center" wrapText="1"/>
    </xf>
    <xf numFmtId="0" fontId="8" fillId="8" borderId="6"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6" borderId="5"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6" borderId="7" xfId="0" applyFont="1" applyFill="1" applyBorder="1" applyAlignment="1">
      <alignment horizontal="left" vertical="center" wrapText="1"/>
    </xf>
    <xf numFmtId="0" fontId="8" fillId="6" borderId="8" xfId="0" applyFont="1" applyFill="1" applyBorder="1" applyAlignment="1">
      <alignment horizontal="left" vertical="center" wrapText="1"/>
    </xf>
    <xf numFmtId="0" fontId="8" fillId="6" borderId="9" xfId="0" applyFont="1" applyFill="1" applyBorder="1" applyAlignment="1">
      <alignment horizontal="left" vertical="center" wrapText="1"/>
    </xf>
    <xf numFmtId="0" fontId="0" fillId="0" borderId="0" xfId="0"/>
    <xf numFmtId="0" fontId="11" fillId="11" borderId="0" xfId="0" applyFont="1" applyFill="1" applyAlignment="1">
      <alignment horizontal="left" vertical="center" wrapText="1"/>
    </xf>
    <xf numFmtId="0" fontId="5" fillId="9" borderId="0" xfId="0" applyFont="1" applyFill="1" applyAlignment="1">
      <alignment horizontal="left" vertical="center" indent="2"/>
    </xf>
    <xf numFmtId="0" fontId="13" fillId="13" borderId="5" xfId="0" applyFont="1" applyFill="1" applyBorder="1" applyAlignment="1">
      <alignment horizontal="left" vertical="center" indent="2"/>
    </xf>
    <xf numFmtId="0" fontId="0" fillId="0" borderId="5" xfId="0" applyBorder="1"/>
    <xf numFmtId="0" fontId="10" fillId="11" borderId="0" xfId="0" applyFont="1" applyFill="1" applyAlignment="1">
      <alignment horizontal="left" vertical="center" indent="2"/>
    </xf>
    <xf numFmtId="0" fontId="13" fillId="12" borderId="5" xfId="0" applyFont="1" applyFill="1" applyBorder="1" applyAlignment="1">
      <alignment horizontal="left" vertical="center" indent="2"/>
    </xf>
    <xf numFmtId="0" fontId="4" fillId="4" borderId="0" xfId="0" applyFont="1" applyFill="1" applyAlignment="1">
      <alignment horizontal="left" vertical="center" wrapText="1" indent="2"/>
    </xf>
    <xf numFmtId="0" fontId="5" fillId="7" borderId="1" xfId="0" applyFont="1" applyFill="1" applyBorder="1" applyAlignment="1">
      <alignment horizontal="left" vertical="center" indent="2"/>
    </xf>
    <xf numFmtId="0" fontId="0" fillId="0" borderId="2" xfId="0" applyBorder="1"/>
    <xf numFmtId="0" fontId="0" fillId="0" borderId="3" xfId="0" applyBorder="1"/>
    <xf numFmtId="0" fontId="9" fillId="10" borderId="0" xfId="0" applyFont="1" applyFill="1" applyAlignment="1">
      <alignment horizontal="left" vertical="center" wrapText="1"/>
    </xf>
    <xf numFmtId="0" fontId="14" fillId="14" borderId="5" xfId="0" applyFont="1" applyFill="1" applyBorder="1" applyAlignment="1">
      <alignment horizontal="left" vertical="center" indent="2"/>
    </xf>
    <xf numFmtId="0" fontId="12" fillId="2" borderId="0" xfId="0" applyFont="1" applyFill="1" applyAlignment="1">
      <alignment horizontal="left" vertical="center" indent="2"/>
    </xf>
    <xf numFmtId="0" fontId="1" fillId="2" borderId="0" xfId="0" applyFont="1" applyFill="1" applyAlignment="1">
      <alignment horizontal="left" vertical="center" indent="2"/>
    </xf>
    <xf numFmtId="0" fontId="5" fillId="5" borderId="0" xfId="0" applyFont="1" applyFill="1" applyAlignment="1">
      <alignment horizontal="left" vertical="center" indent="2"/>
    </xf>
    <xf numFmtId="0" fontId="13" fillId="14" borderId="5" xfId="0" applyFont="1" applyFill="1" applyBorder="1" applyAlignment="1">
      <alignment horizontal="left" vertical="center" indent="2"/>
    </xf>
    <xf numFmtId="0" fontId="14" fillId="13" borderId="5" xfId="0" applyFont="1" applyFill="1" applyBorder="1" applyAlignment="1">
      <alignment horizontal="left" vertical="center" indent="2"/>
    </xf>
    <xf numFmtId="0" fontId="6" fillId="6" borderId="0" xfId="0" applyFont="1" applyFill="1" applyAlignment="1">
      <alignment horizontal="left" vertical="center" wrapText="1" indent="2"/>
    </xf>
    <xf numFmtId="0" fontId="14" fillId="15" borderId="5" xfId="0" applyFont="1" applyFill="1" applyBorder="1" applyAlignment="1">
      <alignment horizontal="left" vertical="center" indent="2"/>
    </xf>
    <xf numFmtId="0" fontId="14" fillId="12" borderId="5" xfId="0" applyFont="1" applyFill="1" applyBorder="1" applyAlignment="1">
      <alignment horizontal="left" vertical="center" indent="2"/>
    </xf>
    <xf numFmtId="0" fontId="3" fillId="2" borderId="0" xfId="0" applyFont="1" applyFill="1" applyAlignment="1">
      <alignment horizontal="left" vertical="center" indent="2"/>
    </xf>
    <xf numFmtId="0" fontId="13" fillId="15" borderId="5" xfId="0" applyFont="1" applyFill="1" applyBorder="1" applyAlignment="1">
      <alignment horizontal="left" vertical="center" indent="2"/>
    </xf>
    <xf numFmtId="0" fontId="2" fillId="3" borderId="0" xfId="0" applyFont="1" applyFill="1" applyAlignment="1">
      <alignment horizontal="left" vertical="center" indent="2"/>
    </xf>
    <xf numFmtId="0" fontId="15" fillId="13" borderId="5" xfId="0" applyFont="1" applyFill="1" applyBorder="1" applyAlignment="1">
      <alignment horizontal="left" vertical="center" indent="2"/>
    </xf>
    <xf numFmtId="0" fontId="15" fillId="12" borderId="5" xfId="0" applyFont="1" applyFill="1" applyBorder="1" applyAlignment="1">
      <alignment horizontal="left" vertical="center" indent="2"/>
    </xf>
    <xf numFmtId="0" fontId="16" fillId="14" borderId="5" xfId="0" applyFont="1" applyFill="1" applyBorder="1" applyAlignment="1">
      <alignment horizontal="left" vertical="center" indent="2"/>
    </xf>
    <xf numFmtId="0" fontId="16" fillId="13" borderId="5" xfId="0" applyFont="1" applyFill="1" applyBorder="1" applyAlignment="1">
      <alignment horizontal="left" vertical="center" indent="2"/>
    </xf>
    <xf numFmtId="0" fontId="16" fillId="15" borderId="5" xfId="0" applyFont="1" applyFill="1" applyBorder="1" applyAlignment="1">
      <alignment horizontal="left" vertical="center" indent="2"/>
    </xf>
    <xf numFmtId="0" fontId="16" fillId="12" borderId="5" xfId="0" applyFont="1" applyFill="1" applyBorder="1" applyAlignment="1">
      <alignment horizontal="left" vertical="center" indent="2"/>
    </xf>
    <xf numFmtId="0" fontId="15" fillId="14" borderId="5" xfId="0" applyFont="1" applyFill="1" applyBorder="1" applyAlignment="1">
      <alignment horizontal="left" vertical="center" indent="2"/>
    </xf>
    <xf numFmtId="0" fontId="15" fillId="15" borderId="5" xfId="0" applyFont="1" applyFill="1" applyBorder="1" applyAlignment="1">
      <alignment horizontal="left" vertical="center" indent="2"/>
    </xf>
    <xf numFmtId="0" fontId="5" fillId="17" borderId="0" xfId="0" applyFont="1" applyFill="1" applyAlignment="1">
      <alignment horizontal="left" vertical="center" indent="2"/>
    </xf>
    <xf numFmtId="0" fontId="5" fillId="9" borderId="1" xfId="0" applyFont="1" applyFill="1" applyBorder="1" applyAlignment="1">
      <alignment horizontal="left" vertical="center"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topLeftCell="A37" zoomScale="84" workbookViewId="0">
      <selection activeCell="A48" sqref="A48:J48"/>
    </sheetView>
  </sheetViews>
  <sheetFormatPr defaultRowHeight="14.4" x14ac:dyDescent="0.3"/>
  <cols>
    <col min="1" max="1" width="5" customWidth="1"/>
    <col min="2" max="2" width="16" customWidth="1"/>
    <col min="3" max="8" width="14" customWidth="1"/>
    <col min="9" max="9" width="16" customWidth="1"/>
    <col min="10" max="10" width="22" customWidth="1"/>
  </cols>
  <sheetData>
    <row r="1" spans="1:10" ht="43.95" customHeight="1" x14ac:dyDescent="0.3">
      <c r="A1" s="55" t="s">
        <v>0</v>
      </c>
      <c r="B1" s="41"/>
      <c r="C1" s="41"/>
      <c r="D1" s="41"/>
      <c r="E1" s="41"/>
      <c r="F1" s="41"/>
      <c r="G1" s="41"/>
      <c r="H1" s="41"/>
      <c r="I1" s="41"/>
      <c r="J1" s="41"/>
    </row>
    <row r="2" spans="1:10" ht="19.95" customHeight="1" x14ac:dyDescent="0.3">
      <c r="A2" s="64" t="s">
        <v>1</v>
      </c>
      <c r="B2" s="41"/>
      <c r="C2" s="41"/>
      <c r="D2" s="41"/>
      <c r="E2" s="41"/>
      <c r="F2" s="41"/>
      <c r="G2" s="41"/>
      <c r="H2" s="41"/>
      <c r="I2" s="41"/>
      <c r="J2" s="41"/>
    </row>
    <row r="3" spans="1:10" ht="25.95" customHeight="1" x14ac:dyDescent="0.3">
      <c r="A3" s="62" t="s">
        <v>2</v>
      </c>
      <c r="B3" s="41"/>
      <c r="C3" s="41"/>
      <c r="D3" s="41"/>
      <c r="E3" s="41"/>
      <c r="F3" s="41"/>
      <c r="G3" s="41"/>
      <c r="H3" s="41"/>
      <c r="I3" s="41"/>
      <c r="J3" s="41"/>
    </row>
    <row r="4" spans="1:10" ht="37.950000000000003" customHeight="1" x14ac:dyDescent="0.3">
      <c r="A4" s="48" t="s">
        <v>3</v>
      </c>
      <c r="B4" s="41"/>
      <c r="C4" s="41"/>
      <c r="D4" s="41"/>
      <c r="E4" s="41"/>
      <c r="F4" s="41"/>
      <c r="G4" s="41"/>
      <c r="H4" s="41"/>
      <c r="I4" s="41"/>
      <c r="J4" s="41"/>
    </row>
    <row r="5" spans="1:10" ht="7.95" customHeight="1" x14ac:dyDescent="0.3">
      <c r="A5" s="41"/>
      <c r="B5" s="41"/>
      <c r="C5" s="41"/>
      <c r="D5" s="41"/>
      <c r="E5" s="41"/>
      <c r="F5" s="41"/>
      <c r="G5" s="41"/>
      <c r="H5" s="41"/>
      <c r="I5" s="41"/>
      <c r="J5" s="41"/>
    </row>
    <row r="6" spans="1:10" ht="25.95" customHeight="1" x14ac:dyDescent="0.3">
      <c r="A6" s="56" t="s">
        <v>4</v>
      </c>
      <c r="B6" s="41"/>
      <c r="C6" s="41"/>
      <c r="D6" s="41"/>
      <c r="E6" s="41"/>
      <c r="F6" s="41"/>
      <c r="G6" s="41"/>
      <c r="H6" s="41"/>
      <c r="I6" s="41"/>
      <c r="J6" s="41"/>
    </row>
    <row r="7" spans="1:10" ht="40.049999999999997" customHeight="1" x14ac:dyDescent="0.3">
      <c r="A7" s="59" t="s">
        <v>5</v>
      </c>
      <c r="B7" s="41"/>
      <c r="C7" s="41"/>
      <c r="D7" s="41"/>
      <c r="E7" s="41"/>
      <c r="F7" s="41"/>
      <c r="G7" s="41"/>
      <c r="H7" s="41"/>
      <c r="I7" s="41"/>
      <c r="J7" s="41"/>
    </row>
    <row r="8" spans="1:10" ht="7.95" customHeight="1" x14ac:dyDescent="0.3">
      <c r="A8" s="41"/>
      <c r="B8" s="41"/>
      <c r="C8" s="41"/>
      <c r="D8" s="41"/>
      <c r="E8" s="41"/>
      <c r="F8" s="41"/>
      <c r="G8" s="41"/>
      <c r="H8" s="41"/>
      <c r="I8" s="41"/>
      <c r="J8" s="41"/>
    </row>
    <row r="9" spans="1:10" ht="25.8" customHeight="1" x14ac:dyDescent="0.3">
      <c r="A9" s="49" t="s">
        <v>6</v>
      </c>
      <c r="B9" s="50"/>
      <c r="C9" s="50"/>
      <c r="D9" s="50"/>
      <c r="E9" s="50"/>
      <c r="F9" s="50"/>
      <c r="G9" s="50"/>
      <c r="H9" s="50"/>
      <c r="I9" s="50"/>
      <c r="J9" s="51"/>
    </row>
    <row r="10" spans="1:10" ht="27.6" customHeight="1" x14ac:dyDescent="0.3">
      <c r="A10" s="1" t="s">
        <v>7</v>
      </c>
      <c r="B10" s="2" t="s">
        <v>8</v>
      </c>
      <c r="C10" s="2" t="s">
        <v>9</v>
      </c>
      <c r="D10" s="2" t="s">
        <v>10</v>
      </c>
      <c r="E10" s="2" t="s">
        <v>11</v>
      </c>
      <c r="F10" s="2" t="s">
        <v>12</v>
      </c>
      <c r="G10" s="2" t="s">
        <v>13</v>
      </c>
      <c r="H10" s="2" t="s">
        <v>14</v>
      </c>
      <c r="I10" s="2" t="s">
        <v>15</v>
      </c>
      <c r="J10" s="3" t="s">
        <v>16</v>
      </c>
    </row>
    <row r="11" spans="1:10" ht="18" customHeight="1" x14ac:dyDescent="0.3">
      <c r="A11" s="4" t="s">
        <v>17</v>
      </c>
      <c r="B11" s="5" t="s">
        <v>18</v>
      </c>
      <c r="C11" s="6" t="s">
        <v>19</v>
      </c>
      <c r="D11" s="7">
        <v>820000</v>
      </c>
      <c r="E11" s="7">
        <v>910000</v>
      </c>
      <c r="F11" s="7">
        <v>750000</v>
      </c>
      <c r="G11" s="7">
        <v>980000</v>
      </c>
      <c r="H11" s="7">
        <v>3200000</v>
      </c>
      <c r="I11" s="6" t="s">
        <v>20</v>
      </c>
      <c r="J11" s="8" t="s">
        <v>21</v>
      </c>
    </row>
    <row r="12" spans="1:10" ht="18" customHeight="1" x14ac:dyDescent="0.3">
      <c r="A12" s="9" t="s">
        <v>22</v>
      </c>
      <c r="B12" s="10" t="s">
        <v>23</v>
      </c>
      <c r="C12" s="11" t="s">
        <v>24</v>
      </c>
      <c r="D12" s="12">
        <v>650000</v>
      </c>
      <c r="E12" s="12">
        <v>720000</v>
      </c>
      <c r="F12" s="12">
        <v>810000</v>
      </c>
      <c r="G12" s="12">
        <v>690000</v>
      </c>
      <c r="H12" s="12">
        <v>2800000</v>
      </c>
      <c r="I12" s="11" t="s">
        <v>25</v>
      </c>
      <c r="J12" s="13" t="s">
        <v>26</v>
      </c>
    </row>
    <row r="13" spans="1:10" ht="18" customHeight="1" x14ac:dyDescent="0.3">
      <c r="A13" s="4" t="s">
        <v>27</v>
      </c>
      <c r="B13" s="5" t="s">
        <v>28</v>
      </c>
      <c r="C13" s="6" t="s">
        <v>29</v>
      </c>
      <c r="D13" s="7">
        <v>430000</v>
      </c>
      <c r="E13" s="7">
        <v>490000</v>
      </c>
      <c r="F13" s="7">
        <v>510000</v>
      </c>
      <c r="G13" s="7">
        <v>460000</v>
      </c>
      <c r="H13" s="7">
        <v>2000000</v>
      </c>
      <c r="I13" s="6" t="s">
        <v>20</v>
      </c>
      <c r="J13" s="8" t="s">
        <v>30</v>
      </c>
    </row>
    <row r="14" spans="1:10" ht="18" customHeight="1" x14ac:dyDescent="0.3">
      <c r="A14" s="9" t="s">
        <v>31</v>
      </c>
      <c r="B14" s="10" t="s">
        <v>32</v>
      </c>
      <c r="C14" s="11" t="s">
        <v>33</v>
      </c>
      <c r="D14" s="12">
        <v>970000</v>
      </c>
      <c r="E14" s="12">
        <v>1050000</v>
      </c>
      <c r="F14" s="12">
        <v>990000</v>
      </c>
      <c r="G14" s="12">
        <v>1100000</v>
      </c>
      <c r="H14" s="12">
        <v>3800000</v>
      </c>
      <c r="I14" s="11" t="s">
        <v>34</v>
      </c>
      <c r="J14" s="13" t="s">
        <v>21</v>
      </c>
    </row>
    <row r="15" spans="1:10" ht="18" customHeight="1" x14ac:dyDescent="0.3">
      <c r="A15" s="4" t="s">
        <v>35</v>
      </c>
      <c r="B15" s="5" t="s">
        <v>36</v>
      </c>
      <c r="C15" s="6" t="s">
        <v>19</v>
      </c>
      <c r="D15" s="7">
        <v>310000</v>
      </c>
      <c r="E15" s="7">
        <v>280000</v>
      </c>
      <c r="F15" s="7">
        <v>350000</v>
      </c>
      <c r="G15" s="7">
        <v>390000</v>
      </c>
      <c r="H15" s="7">
        <v>1500000</v>
      </c>
      <c r="I15" s="6" t="s">
        <v>25</v>
      </c>
      <c r="J15" s="8" t="s">
        <v>21</v>
      </c>
    </row>
    <row r="16" spans="1:10" ht="18" customHeight="1" x14ac:dyDescent="0.3">
      <c r="A16" s="9" t="s">
        <v>37</v>
      </c>
      <c r="B16" s="10" t="s">
        <v>38</v>
      </c>
      <c r="C16" s="11" t="s">
        <v>24</v>
      </c>
      <c r="D16" s="12">
        <v>880000</v>
      </c>
      <c r="E16" s="12">
        <v>940000</v>
      </c>
      <c r="F16" s="12">
        <v>920000</v>
      </c>
      <c r="G16" s="12">
        <v>870000</v>
      </c>
      <c r="H16" s="12">
        <v>3500000</v>
      </c>
      <c r="I16" s="11" t="s">
        <v>34</v>
      </c>
      <c r="J16" s="13" t="s">
        <v>26</v>
      </c>
    </row>
    <row r="17" spans="1:10" ht="18" customHeight="1" x14ac:dyDescent="0.3">
      <c r="A17" s="4" t="s">
        <v>39</v>
      </c>
      <c r="B17" s="5" t="s">
        <v>40</v>
      </c>
      <c r="C17" s="6" t="s">
        <v>29</v>
      </c>
      <c r="D17" s="7">
        <v>760000</v>
      </c>
      <c r="E17" s="7">
        <v>810000</v>
      </c>
      <c r="F17" s="7">
        <v>790000</v>
      </c>
      <c r="G17" s="7">
        <v>840000</v>
      </c>
      <c r="H17" s="7">
        <v>3000000</v>
      </c>
      <c r="I17" s="6" t="s">
        <v>20</v>
      </c>
      <c r="J17" s="8" t="s">
        <v>30</v>
      </c>
    </row>
    <row r="18" spans="1:10" ht="18" customHeight="1" x14ac:dyDescent="0.3">
      <c r="A18" s="9" t="s">
        <v>41</v>
      </c>
      <c r="B18" s="10" t="s">
        <v>42</v>
      </c>
      <c r="C18" s="11" t="s">
        <v>33</v>
      </c>
      <c r="D18" s="12">
        <v>1100000</v>
      </c>
      <c r="E18" s="12">
        <v>1200000</v>
      </c>
      <c r="F18" s="12">
        <v>1150000</v>
      </c>
      <c r="G18" s="12">
        <v>1250000</v>
      </c>
      <c r="H18" s="12">
        <v>4200000</v>
      </c>
      <c r="I18" s="11" t="s">
        <v>34</v>
      </c>
      <c r="J18" s="13" t="s">
        <v>21</v>
      </c>
    </row>
    <row r="19" spans="1:10" ht="18" customHeight="1" x14ac:dyDescent="0.3">
      <c r="A19" s="4" t="s">
        <v>43</v>
      </c>
      <c r="B19" s="5" t="s">
        <v>44</v>
      </c>
      <c r="C19" s="6" t="s">
        <v>19</v>
      </c>
      <c r="D19" s="7">
        <v>540000</v>
      </c>
      <c r="E19" s="7">
        <v>580000</v>
      </c>
      <c r="F19" s="7">
        <v>610000</v>
      </c>
      <c r="G19" s="7">
        <v>570000</v>
      </c>
      <c r="H19" s="7">
        <v>2300000</v>
      </c>
      <c r="I19" s="6" t="s">
        <v>25</v>
      </c>
      <c r="J19" s="8" t="s">
        <v>21</v>
      </c>
    </row>
    <row r="20" spans="1:10" ht="18" customHeight="1" x14ac:dyDescent="0.3">
      <c r="A20" s="9" t="s">
        <v>45</v>
      </c>
      <c r="B20" s="10" t="s">
        <v>46</v>
      </c>
      <c r="C20" s="11" t="s">
        <v>24</v>
      </c>
      <c r="D20" s="12">
        <v>730000</v>
      </c>
      <c r="E20" s="12">
        <v>780000</v>
      </c>
      <c r="F20" s="12">
        <v>810000</v>
      </c>
      <c r="G20" s="12">
        <v>760000</v>
      </c>
      <c r="H20" s="12">
        <v>3000000</v>
      </c>
      <c r="I20" s="11" t="s">
        <v>20</v>
      </c>
      <c r="J20" s="13" t="s">
        <v>26</v>
      </c>
    </row>
    <row r="21" spans="1:10" ht="18" customHeight="1" x14ac:dyDescent="0.3">
      <c r="A21" s="4" t="s">
        <v>47</v>
      </c>
      <c r="B21" s="5" t="s">
        <v>48</v>
      </c>
      <c r="C21" s="6" t="s">
        <v>29</v>
      </c>
      <c r="D21" s="7">
        <v>290000</v>
      </c>
      <c r="E21" s="7">
        <v>310000</v>
      </c>
      <c r="F21" s="7">
        <v>270000</v>
      </c>
      <c r="G21" s="7">
        <v>320000</v>
      </c>
      <c r="H21" s="7">
        <v>1200000</v>
      </c>
      <c r="I21" s="6" t="s">
        <v>25</v>
      </c>
      <c r="J21" s="8" t="s">
        <v>30</v>
      </c>
    </row>
    <row r="22" spans="1:10" ht="18" customHeight="1" x14ac:dyDescent="0.3">
      <c r="A22" s="9" t="s">
        <v>49</v>
      </c>
      <c r="B22" s="10" t="s">
        <v>50</v>
      </c>
      <c r="C22" s="11" t="s">
        <v>33</v>
      </c>
      <c r="D22" s="12">
        <v>840000</v>
      </c>
      <c r="E22" s="12">
        <v>900000</v>
      </c>
      <c r="F22" s="12">
        <v>860000</v>
      </c>
      <c r="G22" s="12">
        <v>920000</v>
      </c>
      <c r="H22" s="12">
        <v>3400000</v>
      </c>
      <c r="I22" s="11" t="s">
        <v>34</v>
      </c>
      <c r="J22" s="13" t="s">
        <v>21</v>
      </c>
    </row>
    <row r="23" spans="1:10" ht="18" customHeight="1" x14ac:dyDescent="0.3">
      <c r="A23" s="4" t="s">
        <v>51</v>
      </c>
      <c r="B23" s="5" t="s">
        <v>52</v>
      </c>
      <c r="C23" s="6" t="s">
        <v>19</v>
      </c>
      <c r="D23" s="7">
        <v>620000</v>
      </c>
      <c r="E23" s="7">
        <v>670000</v>
      </c>
      <c r="F23" s="7">
        <v>700000</v>
      </c>
      <c r="G23" s="7">
        <v>650000</v>
      </c>
      <c r="H23" s="7">
        <v>2600000</v>
      </c>
      <c r="I23" s="6" t="s">
        <v>20</v>
      </c>
      <c r="J23" s="8" t="s">
        <v>21</v>
      </c>
    </row>
    <row r="24" spans="1:10" ht="18" customHeight="1" x14ac:dyDescent="0.3">
      <c r="A24" s="9" t="s">
        <v>53</v>
      </c>
      <c r="B24" s="10" t="s">
        <v>54</v>
      </c>
      <c r="C24" s="11" t="s">
        <v>24</v>
      </c>
      <c r="D24" s="12">
        <v>450000</v>
      </c>
      <c r="E24" s="12">
        <v>490000</v>
      </c>
      <c r="F24" s="12">
        <v>510000</v>
      </c>
      <c r="G24" s="12">
        <v>470000</v>
      </c>
      <c r="H24" s="12">
        <v>1900000</v>
      </c>
      <c r="I24" s="11" t="s">
        <v>25</v>
      </c>
      <c r="J24" s="13" t="s">
        <v>26</v>
      </c>
    </row>
    <row r="25" spans="1:10" ht="18" customHeight="1" x14ac:dyDescent="0.3">
      <c r="A25" s="4" t="s">
        <v>55</v>
      </c>
      <c r="B25" s="5" t="s">
        <v>56</v>
      </c>
      <c r="C25" s="6" t="s">
        <v>29</v>
      </c>
      <c r="D25" s="7">
        <v>980000</v>
      </c>
      <c r="E25" s="7">
        <v>1040000</v>
      </c>
      <c r="F25" s="7">
        <v>1010000</v>
      </c>
      <c r="G25" s="7">
        <v>1080000</v>
      </c>
      <c r="H25" s="7">
        <v>4000000</v>
      </c>
      <c r="I25" s="6" t="s">
        <v>34</v>
      </c>
      <c r="J25" s="8" t="s">
        <v>30</v>
      </c>
    </row>
    <row r="26" spans="1:10" ht="18" customHeight="1" x14ac:dyDescent="0.3">
      <c r="A26" s="9" t="s">
        <v>57</v>
      </c>
      <c r="B26" s="10" t="s">
        <v>58</v>
      </c>
      <c r="C26" s="11" t="s">
        <v>33</v>
      </c>
      <c r="D26" s="12">
        <v>370000</v>
      </c>
      <c r="E26" s="12">
        <v>340000</v>
      </c>
      <c r="F26" s="12">
        <v>380000</v>
      </c>
      <c r="G26" s="12">
        <v>410000</v>
      </c>
      <c r="H26" s="12">
        <v>1500000</v>
      </c>
      <c r="I26" s="11" t="s">
        <v>20</v>
      </c>
      <c r="J26" s="13" t="s">
        <v>21</v>
      </c>
    </row>
    <row r="27" spans="1:10" ht="18" customHeight="1" x14ac:dyDescent="0.3">
      <c r="A27" s="4" t="s">
        <v>59</v>
      </c>
      <c r="B27" s="5" t="s">
        <v>60</v>
      </c>
      <c r="C27" s="6" t="s">
        <v>19</v>
      </c>
      <c r="D27" s="7">
        <v>1050000</v>
      </c>
      <c r="E27" s="7">
        <v>1100000</v>
      </c>
      <c r="F27" s="7">
        <v>1080000</v>
      </c>
      <c r="G27" s="7">
        <v>1150000</v>
      </c>
      <c r="H27" s="7">
        <v>4200000</v>
      </c>
      <c r="I27" s="6" t="s">
        <v>34</v>
      </c>
      <c r="J27" s="8" t="s">
        <v>21</v>
      </c>
    </row>
    <row r="28" spans="1:10" ht="18" customHeight="1" x14ac:dyDescent="0.3">
      <c r="A28" s="9" t="s">
        <v>61</v>
      </c>
      <c r="B28" s="10" t="s">
        <v>62</v>
      </c>
      <c r="C28" s="11" t="s">
        <v>24</v>
      </c>
      <c r="D28" s="12">
        <v>680000</v>
      </c>
      <c r="E28" s="12">
        <v>720000</v>
      </c>
      <c r="F28" s="12">
        <v>750000</v>
      </c>
      <c r="G28" s="12">
        <v>700000</v>
      </c>
      <c r="H28" s="12">
        <v>2800000</v>
      </c>
      <c r="I28" s="11" t="s">
        <v>20</v>
      </c>
      <c r="J28" s="13" t="s">
        <v>26</v>
      </c>
    </row>
    <row r="29" spans="1:10" ht="18" customHeight="1" x14ac:dyDescent="0.3">
      <c r="A29" s="4" t="s">
        <v>63</v>
      </c>
      <c r="B29" s="5" t="s">
        <v>64</v>
      </c>
      <c r="C29" s="6" t="s">
        <v>29</v>
      </c>
      <c r="D29" s="7">
        <v>590000</v>
      </c>
      <c r="E29" s="7">
        <v>630000</v>
      </c>
      <c r="F29" s="7">
        <v>610000</v>
      </c>
      <c r="G29" s="7">
        <v>650000</v>
      </c>
      <c r="H29" s="7">
        <v>2400000</v>
      </c>
      <c r="I29" s="6" t="s">
        <v>25</v>
      </c>
      <c r="J29" s="8" t="s">
        <v>30</v>
      </c>
    </row>
    <row r="30" spans="1:10" ht="18" customHeight="1" x14ac:dyDescent="0.3">
      <c r="A30" s="14" t="s">
        <v>65</v>
      </c>
      <c r="B30" s="15" t="s">
        <v>66</v>
      </c>
      <c r="C30" s="16" t="s">
        <v>33</v>
      </c>
      <c r="D30" s="17">
        <v>860000</v>
      </c>
      <c r="E30" s="17">
        <v>910000</v>
      </c>
      <c r="F30" s="17">
        <v>880000</v>
      </c>
      <c r="G30" s="17">
        <v>950000</v>
      </c>
      <c r="H30" s="17">
        <v>3500000</v>
      </c>
      <c r="I30" s="16" t="s">
        <v>34</v>
      </c>
      <c r="J30" s="18" t="s">
        <v>21</v>
      </c>
    </row>
    <row r="31" spans="1:10" ht="7.95" customHeight="1" x14ac:dyDescent="0.3">
      <c r="A31" s="41"/>
      <c r="B31" s="41"/>
      <c r="C31" s="41"/>
      <c r="D31" s="41"/>
      <c r="E31" s="41"/>
      <c r="F31" s="41"/>
      <c r="G31" s="41"/>
      <c r="H31" s="41"/>
      <c r="I31" s="41"/>
      <c r="J31" s="41"/>
    </row>
    <row r="32" spans="1:10" ht="25.95" customHeight="1" x14ac:dyDescent="0.3">
      <c r="A32" s="43" t="s">
        <v>67</v>
      </c>
      <c r="B32" s="41"/>
      <c r="C32" s="41"/>
      <c r="D32" s="41"/>
      <c r="E32" s="41"/>
      <c r="F32" s="41"/>
      <c r="G32" s="41"/>
      <c r="H32" s="41"/>
      <c r="I32" s="41"/>
      <c r="J32" s="41"/>
    </row>
    <row r="33" spans="1:10" ht="30" customHeight="1" x14ac:dyDescent="0.3">
      <c r="A33" s="52" t="s">
        <v>68</v>
      </c>
      <c r="B33" s="41"/>
      <c r="C33" s="41"/>
      <c r="D33" s="41"/>
      <c r="E33" s="41"/>
      <c r="F33" s="41"/>
      <c r="G33" s="41"/>
      <c r="H33" s="41"/>
      <c r="I33" s="41"/>
      <c r="J33" s="41"/>
    </row>
    <row r="34" spans="1:10" ht="42" customHeight="1" x14ac:dyDescent="0.3">
      <c r="A34" s="46" t="s">
        <v>69</v>
      </c>
      <c r="B34" s="41"/>
      <c r="C34" s="42" t="s">
        <v>70</v>
      </c>
      <c r="D34" s="41"/>
      <c r="E34" s="41"/>
      <c r="F34" s="41"/>
      <c r="G34" s="41"/>
      <c r="H34" s="41"/>
      <c r="I34" s="41"/>
      <c r="J34" s="41"/>
    </row>
    <row r="35" spans="1:10" ht="6" customHeight="1" x14ac:dyDescent="0.3">
      <c r="A35" s="41"/>
      <c r="B35" s="41"/>
      <c r="C35" s="41"/>
      <c r="D35" s="41"/>
      <c r="E35" s="41"/>
      <c r="F35" s="41"/>
      <c r="G35" s="41"/>
      <c r="H35" s="41"/>
      <c r="I35" s="41"/>
      <c r="J35" s="41"/>
    </row>
    <row r="36" spans="1:10" ht="30" customHeight="1" x14ac:dyDescent="0.3">
      <c r="A36" s="52" t="s">
        <v>71</v>
      </c>
      <c r="B36" s="41"/>
      <c r="C36" s="41"/>
      <c r="D36" s="41"/>
      <c r="E36" s="41"/>
      <c r="F36" s="41"/>
      <c r="G36" s="41"/>
      <c r="H36" s="41"/>
      <c r="I36" s="41"/>
      <c r="J36" s="41"/>
    </row>
    <row r="37" spans="1:10" ht="42" customHeight="1" x14ac:dyDescent="0.3">
      <c r="A37" s="46" t="s">
        <v>69</v>
      </c>
      <c r="B37" s="41"/>
      <c r="C37" s="42" t="s">
        <v>72</v>
      </c>
      <c r="D37" s="41"/>
      <c r="E37" s="41"/>
      <c r="F37" s="41"/>
      <c r="G37" s="41"/>
      <c r="H37" s="41"/>
      <c r="I37" s="41"/>
      <c r="J37" s="41"/>
    </row>
    <row r="38" spans="1:10" ht="6" customHeight="1" x14ac:dyDescent="0.3">
      <c r="A38" s="41"/>
      <c r="B38" s="41"/>
      <c r="C38" s="41"/>
      <c r="D38" s="41"/>
      <c r="E38" s="41"/>
      <c r="F38" s="41"/>
      <c r="G38" s="41"/>
      <c r="H38" s="41"/>
      <c r="I38" s="41"/>
      <c r="J38" s="41"/>
    </row>
    <row r="39" spans="1:10" ht="30" customHeight="1" x14ac:dyDescent="0.3">
      <c r="A39" s="52" t="s">
        <v>73</v>
      </c>
      <c r="B39" s="41"/>
      <c r="C39" s="41"/>
      <c r="D39" s="41"/>
      <c r="E39" s="41"/>
      <c r="F39" s="41"/>
      <c r="G39" s="41"/>
      <c r="H39" s="41"/>
      <c r="I39" s="41"/>
      <c r="J39" s="41"/>
    </row>
    <row r="40" spans="1:10" ht="42" customHeight="1" x14ac:dyDescent="0.3">
      <c r="A40" s="46" t="s">
        <v>69</v>
      </c>
      <c r="B40" s="41"/>
      <c r="C40" s="42" t="s">
        <v>74</v>
      </c>
      <c r="D40" s="41"/>
      <c r="E40" s="41"/>
      <c r="F40" s="41"/>
      <c r="G40" s="41"/>
      <c r="H40" s="41"/>
      <c r="I40" s="41"/>
      <c r="J40" s="41"/>
    </row>
    <row r="41" spans="1:10" ht="6" customHeight="1" x14ac:dyDescent="0.3">
      <c r="A41" s="41"/>
      <c r="B41" s="41"/>
      <c r="C41" s="41"/>
      <c r="D41" s="41"/>
      <c r="E41" s="41"/>
      <c r="F41" s="41"/>
      <c r="G41" s="41"/>
      <c r="H41" s="41"/>
      <c r="I41" s="41"/>
      <c r="J41" s="41"/>
    </row>
    <row r="42" spans="1:10" ht="30" customHeight="1" x14ac:dyDescent="0.3">
      <c r="A42" s="52" t="s">
        <v>75</v>
      </c>
      <c r="B42" s="41"/>
      <c r="C42" s="41"/>
      <c r="D42" s="41"/>
      <c r="E42" s="41"/>
      <c r="F42" s="41"/>
      <c r="G42" s="41"/>
      <c r="H42" s="41"/>
      <c r="I42" s="41"/>
      <c r="J42" s="41"/>
    </row>
    <row r="43" spans="1:10" ht="42" customHeight="1" x14ac:dyDescent="0.3">
      <c r="A43" s="46" t="s">
        <v>69</v>
      </c>
      <c r="B43" s="41"/>
      <c r="C43" s="42" t="s">
        <v>76</v>
      </c>
      <c r="D43" s="41"/>
      <c r="E43" s="41"/>
      <c r="F43" s="41"/>
      <c r="G43" s="41"/>
      <c r="H43" s="41"/>
      <c r="I43" s="41"/>
      <c r="J43" s="41"/>
    </row>
    <row r="44" spans="1:10" ht="6" customHeight="1" x14ac:dyDescent="0.3">
      <c r="A44" s="41"/>
      <c r="B44" s="41"/>
      <c r="C44" s="41"/>
      <c r="D44" s="41"/>
      <c r="E44" s="41"/>
      <c r="F44" s="41"/>
      <c r="G44" s="41"/>
      <c r="H44" s="41"/>
      <c r="I44" s="41"/>
      <c r="J44" s="41"/>
    </row>
    <row r="45" spans="1:10" ht="30" customHeight="1" x14ac:dyDescent="0.3">
      <c r="A45" s="52" t="s">
        <v>77</v>
      </c>
      <c r="B45" s="41"/>
      <c r="C45" s="41"/>
      <c r="D45" s="41"/>
      <c r="E45" s="41"/>
      <c r="F45" s="41"/>
      <c r="G45" s="41"/>
      <c r="H45" s="41"/>
      <c r="I45" s="41"/>
      <c r="J45" s="41"/>
    </row>
    <row r="46" spans="1:10" ht="42" customHeight="1" x14ac:dyDescent="0.3">
      <c r="A46" s="46" t="s">
        <v>69</v>
      </c>
      <c r="B46" s="41"/>
      <c r="C46" s="42" t="s">
        <v>78</v>
      </c>
      <c r="D46" s="41"/>
      <c r="E46" s="41"/>
      <c r="F46" s="41"/>
      <c r="G46" s="41"/>
      <c r="H46" s="41"/>
      <c r="I46" s="41"/>
      <c r="J46" s="41"/>
    </row>
    <row r="47" spans="1:10" ht="6" customHeight="1" x14ac:dyDescent="0.3">
      <c r="A47" s="41"/>
      <c r="B47" s="41"/>
      <c r="C47" s="41"/>
      <c r="D47" s="41"/>
      <c r="E47" s="41"/>
      <c r="F47" s="41"/>
      <c r="G47" s="41"/>
      <c r="H47" s="41"/>
      <c r="I47" s="41"/>
      <c r="J47" s="41"/>
    </row>
    <row r="48" spans="1:10" ht="30" customHeight="1" x14ac:dyDescent="0.3">
      <c r="A48" s="52" t="s">
        <v>79</v>
      </c>
      <c r="B48" s="41"/>
      <c r="C48" s="41"/>
      <c r="D48" s="41"/>
      <c r="E48" s="41"/>
      <c r="F48" s="41"/>
      <c r="G48" s="41"/>
      <c r="H48" s="41"/>
      <c r="I48" s="41"/>
      <c r="J48" s="41"/>
    </row>
    <row r="49" spans="1:10" ht="42" customHeight="1" x14ac:dyDescent="0.3">
      <c r="A49" s="46" t="s">
        <v>69</v>
      </c>
      <c r="B49" s="41"/>
      <c r="C49" s="42" t="s">
        <v>80</v>
      </c>
      <c r="D49" s="41"/>
      <c r="E49" s="41"/>
      <c r="F49" s="41"/>
      <c r="G49" s="41"/>
      <c r="H49" s="41"/>
      <c r="I49" s="41"/>
      <c r="J49" s="41"/>
    </row>
    <row r="50" spans="1:10" ht="6" customHeight="1" x14ac:dyDescent="0.3">
      <c r="A50" s="41"/>
      <c r="B50" s="41"/>
      <c r="C50" s="41"/>
      <c r="D50" s="41"/>
      <c r="E50" s="41"/>
      <c r="F50" s="41"/>
      <c r="G50" s="41"/>
      <c r="H50" s="41"/>
      <c r="I50" s="41"/>
      <c r="J50" s="41"/>
    </row>
    <row r="51" spans="1:10" ht="25.95" customHeight="1" x14ac:dyDescent="0.3">
      <c r="A51" s="54" t="s">
        <v>81</v>
      </c>
      <c r="B51" s="41"/>
      <c r="C51" s="41"/>
      <c r="D51" s="41"/>
      <c r="E51" s="41"/>
      <c r="F51" s="41"/>
      <c r="G51" s="41"/>
      <c r="H51" s="41"/>
      <c r="I51" s="41"/>
      <c r="J51" s="41"/>
    </row>
    <row r="52" spans="1:10" ht="22.05" customHeight="1" x14ac:dyDescent="0.3">
      <c r="A52" s="47" t="s">
        <v>82</v>
      </c>
      <c r="B52" s="45"/>
      <c r="C52" s="45"/>
      <c r="D52" s="45"/>
      <c r="E52" s="61" t="s">
        <v>83</v>
      </c>
      <c r="F52" s="45"/>
      <c r="G52" s="45"/>
      <c r="H52" s="45"/>
      <c r="I52" s="45"/>
      <c r="J52" s="45"/>
    </row>
    <row r="53" spans="1:10" ht="22.05" customHeight="1" x14ac:dyDescent="0.3">
      <c r="A53" s="44" t="s">
        <v>84</v>
      </c>
      <c r="B53" s="45"/>
      <c r="C53" s="45"/>
      <c r="D53" s="45"/>
      <c r="E53" s="58" t="s">
        <v>85</v>
      </c>
      <c r="F53" s="45"/>
      <c r="G53" s="45"/>
      <c r="H53" s="45"/>
      <c r="I53" s="45"/>
      <c r="J53" s="45"/>
    </row>
    <row r="54" spans="1:10" ht="22.05" customHeight="1" x14ac:dyDescent="0.3">
      <c r="A54" s="57" t="s">
        <v>86</v>
      </c>
      <c r="B54" s="45"/>
      <c r="C54" s="45"/>
      <c r="D54" s="45"/>
      <c r="E54" s="53" t="s">
        <v>87</v>
      </c>
      <c r="F54" s="45"/>
      <c r="G54" s="45"/>
      <c r="H54" s="45"/>
      <c r="I54" s="45"/>
      <c r="J54" s="45"/>
    </row>
    <row r="55" spans="1:10" ht="22.05" customHeight="1" x14ac:dyDescent="0.3">
      <c r="A55" s="63" t="s">
        <v>88</v>
      </c>
      <c r="B55" s="45"/>
      <c r="C55" s="45"/>
      <c r="D55" s="45"/>
      <c r="E55" s="60" t="s">
        <v>89</v>
      </c>
      <c r="F55" s="45"/>
      <c r="G55" s="45"/>
      <c r="H55" s="45"/>
      <c r="I55" s="45"/>
      <c r="J55" s="45"/>
    </row>
  </sheetData>
  <mergeCells count="44">
    <mergeCell ref="E55:J55"/>
    <mergeCell ref="A43:B43"/>
    <mergeCell ref="E52:J52"/>
    <mergeCell ref="A3:J3"/>
    <mergeCell ref="A55:D55"/>
    <mergeCell ref="A50:J50"/>
    <mergeCell ref="A42:J42"/>
    <mergeCell ref="A33:J33"/>
    <mergeCell ref="A40:B40"/>
    <mergeCell ref="E54:J54"/>
    <mergeCell ref="C40:J40"/>
    <mergeCell ref="A34:B34"/>
    <mergeCell ref="A51:J51"/>
    <mergeCell ref="A1:J1"/>
    <mergeCell ref="A45:J45"/>
    <mergeCell ref="A36:J36"/>
    <mergeCell ref="A6:J6"/>
    <mergeCell ref="C43:J43"/>
    <mergeCell ref="C46:J46"/>
    <mergeCell ref="A54:D54"/>
    <mergeCell ref="E53:J53"/>
    <mergeCell ref="A7:J7"/>
    <mergeCell ref="A41:J41"/>
    <mergeCell ref="A2:J2"/>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 ref="A5:J5"/>
    <mergeCell ref="C34:J34"/>
    <mergeCell ref="A32:J32"/>
    <mergeCell ref="A8:J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zoomScale="137" workbookViewId="0">
      <selection sqref="A1:K1"/>
    </sheetView>
  </sheetViews>
  <sheetFormatPr defaultRowHeight="14.4" x14ac:dyDescent="0.3"/>
  <cols>
    <col min="1" max="1" width="5" customWidth="1"/>
    <col min="2" max="2" width="18" customWidth="1"/>
    <col min="3" max="5" width="12" customWidth="1"/>
    <col min="6" max="7" width="14" customWidth="1"/>
    <col min="8" max="8" width="12" customWidth="1"/>
    <col min="9" max="9" width="14" customWidth="1"/>
    <col min="10" max="10" width="12" customWidth="1"/>
    <col min="11" max="11" width="20" customWidth="1"/>
  </cols>
  <sheetData>
    <row r="1" spans="1:11" ht="43.95" customHeight="1" x14ac:dyDescent="0.3">
      <c r="A1" s="55" t="s">
        <v>90</v>
      </c>
      <c r="B1" s="41"/>
      <c r="C1" s="41"/>
      <c r="D1" s="41"/>
      <c r="E1" s="41"/>
      <c r="F1" s="41"/>
      <c r="G1" s="41"/>
      <c r="H1" s="41"/>
      <c r="I1" s="41"/>
      <c r="J1" s="41"/>
      <c r="K1" s="41"/>
    </row>
    <row r="2" spans="1:11" ht="19.95" customHeight="1" x14ac:dyDescent="0.3">
      <c r="A2" s="64" t="s">
        <v>91</v>
      </c>
      <c r="B2" s="41"/>
      <c r="C2" s="41"/>
      <c r="D2" s="41"/>
      <c r="E2" s="41"/>
      <c r="F2" s="41"/>
      <c r="G2" s="41"/>
      <c r="H2" s="41"/>
      <c r="I2" s="41"/>
      <c r="J2" s="41"/>
      <c r="K2" s="41"/>
    </row>
    <row r="3" spans="1:11" ht="25.95" customHeight="1" x14ac:dyDescent="0.3">
      <c r="A3" s="62" t="s">
        <v>2</v>
      </c>
      <c r="B3" s="41"/>
      <c r="C3" s="41"/>
      <c r="D3" s="41"/>
      <c r="E3" s="41"/>
      <c r="F3" s="41"/>
      <c r="G3" s="41"/>
      <c r="H3" s="41"/>
      <c r="I3" s="41"/>
      <c r="J3" s="41"/>
      <c r="K3" s="41"/>
    </row>
    <row r="4" spans="1:11" ht="42" customHeight="1" x14ac:dyDescent="0.3">
      <c r="A4" s="48" t="s">
        <v>92</v>
      </c>
      <c r="B4" s="41"/>
      <c r="C4" s="41"/>
      <c r="D4" s="41"/>
      <c r="E4" s="41"/>
      <c r="F4" s="41"/>
      <c r="G4" s="41"/>
      <c r="H4" s="41"/>
      <c r="I4" s="41"/>
      <c r="J4" s="41"/>
      <c r="K4" s="41"/>
    </row>
    <row r="5" spans="1:11" ht="7.95" customHeight="1" x14ac:dyDescent="0.3">
      <c r="A5" s="41"/>
      <c r="B5" s="41"/>
      <c r="C5" s="41"/>
      <c r="D5" s="41"/>
      <c r="E5" s="41"/>
      <c r="F5" s="41"/>
      <c r="G5" s="41"/>
      <c r="H5" s="41"/>
      <c r="I5" s="41"/>
      <c r="J5" s="41"/>
      <c r="K5" s="41"/>
    </row>
    <row r="6" spans="1:11" ht="25.95" customHeight="1" x14ac:dyDescent="0.3">
      <c r="A6" s="56" t="s">
        <v>4</v>
      </c>
      <c r="B6" s="41"/>
      <c r="C6" s="41"/>
      <c r="D6" s="41"/>
      <c r="E6" s="41"/>
      <c r="F6" s="41"/>
      <c r="G6" s="41"/>
      <c r="H6" s="41"/>
      <c r="I6" s="41"/>
      <c r="J6" s="41"/>
      <c r="K6" s="41"/>
    </row>
    <row r="7" spans="1:11" ht="40.049999999999997" customHeight="1" x14ac:dyDescent="0.3">
      <c r="A7" s="59" t="s">
        <v>93</v>
      </c>
      <c r="B7" s="41"/>
      <c r="C7" s="41"/>
      <c r="D7" s="41"/>
      <c r="E7" s="41"/>
      <c r="F7" s="41"/>
      <c r="G7" s="41"/>
      <c r="H7" s="41"/>
      <c r="I7" s="41"/>
      <c r="J7" s="41"/>
      <c r="K7" s="41"/>
    </row>
    <row r="8" spans="1:11" ht="7.95" customHeight="1" x14ac:dyDescent="0.3">
      <c r="A8" s="41"/>
      <c r="B8" s="41"/>
      <c r="C8" s="41"/>
      <c r="D8" s="41"/>
      <c r="E8" s="41"/>
      <c r="F8" s="41"/>
      <c r="G8" s="41"/>
      <c r="H8" s="41"/>
      <c r="I8" s="41"/>
      <c r="J8" s="41"/>
      <c r="K8" s="41"/>
    </row>
    <row r="9" spans="1:11" ht="25.95" customHeight="1" x14ac:dyDescent="0.3">
      <c r="A9" s="49" t="s">
        <v>94</v>
      </c>
      <c r="B9" s="50"/>
      <c r="C9" s="50"/>
      <c r="D9" s="50"/>
      <c r="E9" s="50"/>
      <c r="F9" s="50"/>
      <c r="G9" s="50"/>
      <c r="H9" s="50"/>
      <c r="I9" s="50"/>
      <c r="J9" s="50"/>
      <c r="K9" s="51"/>
    </row>
    <row r="10" spans="1:11" ht="28.05" customHeight="1" x14ac:dyDescent="0.3">
      <c r="A10" s="1" t="s">
        <v>7</v>
      </c>
      <c r="B10" s="2" t="s">
        <v>95</v>
      </c>
      <c r="C10" s="2" t="s">
        <v>96</v>
      </c>
      <c r="D10" s="2" t="s">
        <v>97</v>
      </c>
      <c r="E10" s="2" t="s">
        <v>98</v>
      </c>
      <c r="F10" s="2" t="s">
        <v>99</v>
      </c>
      <c r="G10" s="2" t="s">
        <v>100</v>
      </c>
      <c r="H10" s="2" t="s">
        <v>101</v>
      </c>
      <c r="I10" s="2" t="s">
        <v>102</v>
      </c>
      <c r="J10" s="2" t="s">
        <v>103</v>
      </c>
      <c r="K10" s="3" t="s">
        <v>104</v>
      </c>
    </row>
    <row r="11" spans="1:11" ht="18" customHeight="1" x14ac:dyDescent="0.3">
      <c r="A11" s="4" t="s">
        <v>105</v>
      </c>
      <c r="B11" s="5" t="s">
        <v>106</v>
      </c>
      <c r="C11" s="6" t="s">
        <v>107</v>
      </c>
      <c r="D11" s="6" t="s">
        <v>108</v>
      </c>
      <c r="E11" s="7">
        <v>7</v>
      </c>
      <c r="F11" s="7">
        <v>95000</v>
      </c>
      <c r="G11" s="5" t="s">
        <v>109</v>
      </c>
      <c r="H11" s="6" t="s">
        <v>110</v>
      </c>
      <c r="I11" s="6" t="s">
        <v>111</v>
      </c>
      <c r="J11" s="7">
        <v>32</v>
      </c>
      <c r="K11" s="8" t="s">
        <v>112</v>
      </c>
    </row>
    <row r="12" spans="1:11" ht="18" customHeight="1" x14ac:dyDescent="0.3">
      <c r="A12" s="9" t="s">
        <v>113</v>
      </c>
      <c r="B12" s="10" t="s">
        <v>114</v>
      </c>
      <c r="C12" s="11" t="s">
        <v>115</v>
      </c>
      <c r="D12" s="11" t="s">
        <v>16</v>
      </c>
      <c r="E12" s="12">
        <v>5</v>
      </c>
      <c r="F12" s="12">
        <v>78000</v>
      </c>
      <c r="G12" s="10" t="s">
        <v>116</v>
      </c>
      <c r="H12" s="11" t="s">
        <v>110</v>
      </c>
      <c r="I12" s="11" t="s">
        <v>117</v>
      </c>
      <c r="J12" s="12">
        <v>29</v>
      </c>
      <c r="K12" s="13" t="s">
        <v>118</v>
      </c>
    </row>
    <row r="13" spans="1:11" ht="18" customHeight="1" x14ac:dyDescent="0.3">
      <c r="A13" s="4" t="s">
        <v>119</v>
      </c>
      <c r="B13" s="5" t="s">
        <v>120</v>
      </c>
      <c r="C13" s="6" t="s">
        <v>107</v>
      </c>
      <c r="D13" s="6" t="s">
        <v>121</v>
      </c>
      <c r="E13" s="7">
        <v>2</v>
      </c>
      <c r="F13" s="7">
        <v>48000</v>
      </c>
      <c r="G13" s="5" t="s">
        <v>122</v>
      </c>
      <c r="H13" s="6" t="s">
        <v>110</v>
      </c>
      <c r="I13" s="6" t="s">
        <v>111</v>
      </c>
      <c r="J13" s="7">
        <v>25</v>
      </c>
      <c r="K13" s="8" t="s">
        <v>123</v>
      </c>
    </row>
    <row r="14" spans="1:11" ht="18" customHeight="1" x14ac:dyDescent="0.3">
      <c r="A14" s="9" t="s">
        <v>124</v>
      </c>
      <c r="B14" s="10" t="s">
        <v>125</v>
      </c>
      <c r="C14" s="11" t="s">
        <v>126</v>
      </c>
      <c r="D14" s="11" t="s">
        <v>127</v>
      </c>
      <c r="E14" s="12">
        <v>4</v>
      </c>
      <c r="F14" s="12">
        <v>55000</v>
      </c>
      <c r="G14" s="10" t="s">
        <v>128</v>
      </c>
      <c r="H14" s="11" t="s">
        <v>110</v>
      </c>
      <c r="I14" s="11" t="s">
        <v>117</v>
      </c>
      <c r="J14" s="12">
        <v>28</v>
      </c>
      <c r="K14" s="13" t="s">
        <v>129</v>
      </c>
    </row>
    <row r="15" spans="1:11" ht="18" customHeight="1" x14ac:dyDescent="0.3">
      <c r="A15" s="4" t="s">
        <v>130</v>
      </c>
      <c r="B15" s="5" t="s">
        <v>131</v>
      </c>
      <c r="C15" s="6" t="s">
        <v>132</v>
      </c>
      <c r="D15" s="6" t="s">
        <v>133</v>
      </c>
      <c r="E15" s="7">
        <v>8</v>
      </c>
      <c r="F15" s="7">
        <v>110000</v>
      </c>
      <c r="G15" s="5" t="s">
        <v>134</v>
      </c>
      <c r="H15" s="6" t="s">
        <v>135</v>
      </c>
      <c r="I15" s="6" t="s">
        <v>111</v>
      </c>
      <c r="J15" s="7">
        <v>34</v>
      </c>
      <c r="K15" s="8" t="s">
        <v>112</v>
      </c>
    </row>
    <row r="16" spans="1:11" ht="18" customHeight="1" x14ac:dyDescent="0.3">
      <c r="A16" s="9" t="s">
        <v>136</v>
      </c>
      <c r="B16" s="10" t="s">
        <v>137</v>
      </c>
      <c r="C16" s="11" t="s">
        <v>107</v>
      </c>
      <c r="D16" s="11" t="s">
        <v>138</v>
      </c>
      <c r="E16" s="12">
        <v>10</v>
      </c>
      <c r="F16" s="12">
        <v>130000</v>
      </c>
      <c r="G16" s="10" t="s">
        <v>139</v>
      </c>
      <c r="H16" s="11" t="s">
        <v>110</v>
      </c>
      <c r="I16" s="11" t="s">
        <v>117</v>
      </c>
      <c r="J16" s="12">
        <v>38</v>
      </c>
      <c r="K16" s="13" t="s">
        <v>140</v>
      </c>
    </row>
    <row r="17" spans="1:11" ht="18" customHeight="1" x14ac:dyDescent="0.3">
      <c r="A17" s="4" t="s">
        <v>141</v>
      </c>
      <c r="B17" s="5" t="s">
        <v>142</v>
      </c>
      <c r="C17" s="6" t="s">
        <v>143</v>
      </c>
      <c r="D17" s="6" t="s">
        <v>144</v>
      </c>
      <c r="E17" s="7">
        <v>3</v>
      </c>
      <c r="F17" s="7">
        <v>52000</v>
      </c>
      <c r="G17" s="5" t="s">
        <v>145</v>
      </c>
      <c r="H17" s="6" t="s">
        <v>110</v>
      </c>
      <c r="I17" s="6" t="s">
        <v>111</v>
      </c>
      <c r="J17" s="7">
        <v>27</v>
      </c>
      <c r="K17" s="8" t="s">
        <v>146</v>
      </c>
    </row>
    <row r="18" spans="1:11" ht="18" customHeight="1" x14ac:dyDescent="0.3">
      <c r="A18" s="9" t="s">
        <v>147</v>
      </c>
      <c r="B18" s="10" t="s">
        <v>148</v>
      </c>
      <c r="C18" s="11" t="s">
        <v>115</v>
      </c>
      <c r="D18" s="11" t="s">
        <v>149</v>
      </c>
      <c r="E18" s="12">
        <v>9</v>
      </c>
      <c r="F18" s="12">
        <v>105000</v>
      </c>
      <c r="G18" s="10" t="s">
        <v>150</v>
      </c>
      <c r="H18" s="11" t="s">
        <v>110</v>
      </c>
      <c r="I18" s="11" t="s">
        <v>117</v>
      </c>
      <c r="J18" s="12">
        <v>36</v>
      </c>
      <c r="K18" s="13" t="s">
        <v>151</v>
      </c>
    </row>
    <row r="19" spans="1:11" ht="18" customHeight="1" x14ac:dyDescent="0.3">
      <c r="A19" s="4" t="s">
        <v>152</v>
      </c>
      <c r="B19" s="5" t="s">
        <v>153</v>
      </c>
      <c r="C19" s="6" t="s">
        <v>132</v>
      </c>
      <c r="D19" s="6" t="s">
        <v>154</v>
      </c>
      <c r="E19" s="7">
        <v>1</v>
      </c>
      <c r="F19" s="7">
        <v>42000</v>
      </c>
      <c r="G19" s="5" t="s">
        <v>155</v>
      </c>
      <c r="H19" s="6" t="s">
        <v>135</v>
      </c>
      <c r="I19" s="6" t="s">
        <v>111</v>
      </c>
      <c r="J19" s="7">
        <v>24</v>
      </c>
      <c r="K19" s="8" t="s">
        <v>118</v>
      </c>
    </row>
    <row r="20" spans="1:11" ht="18" customHeight="1" x14ac:dyDescent="0.3">
      <c r="A20" s="9" t="s">
        <v>156</v>
      </c>
      <c r="B20" s="10" t="s">
        <v>157</v>
      </c>
      <c r="C20" s="11" t="s">
        <v>126</v>
      </c>
      <c r="D20" s="11" t="s">
        <v>158</v>
      </c>
      <c r="E20" s="12">
        <v>6</v>
      </c>
      <c r="F20" s="12">
        <v>88000</v>
      </c>
      <c r="G20" s="10" t="s">
        <v>159</v>
      </c>
      <c r="H20" s="11" t="s">
        <v>110</v>
      </c>
      <c r="I20" s="11" t="s">
        <v>117</v>
      </c>
      <c r="J20" s="12">
        <v>31</v>
      </c>
      <c r="K20" s="13" t="s">
        <v>129</v>
      </c>
    </row>
    <row r="21" spans="1:11" ht="18" customHeight="1" x14ac:dyDescent="0.3">
      <c r="A21" s="4" t="s">
        <v>160</v>
      </c>
      <c r="B21" s="5" t="s">
        <v>161</v>
      </c>
      <c r="C21" s="6" t="s">
        <v>107</v>
      </c>
      <c r="D21" s="6" t="s">
        <v>162</v>
      </c>
      <c r="E21" s="7">
        <v>12</v>
      </c>
      <c r="F21" s="7">
        <v>160000</v>
      </c>
      <c r="G21" s="5" t="s">
        <v>163</v>
      </c>
      <c r="H21" s="6" t="s">
        <v>110</v>
      </c>
      <c r="I21" s="6" t="s">
        <v>111</v>
      </c>
      <c r="J21" s="7">
        <v>40</v>
      </c>
      <c r="K21" s="8" t="s">
        <v>112</v>
      </c>
    </row>
    <row r="22" spans="1:11" ht="18" customHeight="1" x14ac:dyDescent="0.3">
      <c r="A22" s="9" t="s">
        <v>164</v>
      </c>
      <c r="B22" s="10" t="s">
        <v>165</v>
      </c>
      <c r="C22" s="11" t="s">
        <v>143</v>
      </c>
      <c r="D22" s="11" t="s">
        <v>166</v>
      </c>
      <c r="E22" s="12">
        <v>7</v>
      </c>
      <c r="F22" s="12">
        <v>92000</v>
      </c>
      <c r="G22" s="10" t="s">
        <v>167</v>
      </c>
      <c r="H22" s="11" t="s">
        <v>135</v>
      </c>
      <c r="I22" s="11" t="s">
        <v>117</v>
      </c>
      <c r="J22" s="12">
        <v>33</v>
      </c>
      <c r="K22" s="13" t="s">
        <v>123</v>
      </c>
    </row>
    <row r="23" spans="1:11" ht="18" customHeight="1" x14ac:dyDescent="0.3">
      <c r="A23" s="4" t="s">
        <v>168</v>
      </c>
      <c r="B23" s="5" t="s">
        <v>169</v>
      </c>
      <c r="C23" s="6" t="s">
        <v>132</v>
      </c>
      <c r="D23" s="6" t="s">
        <v>170</v>
      </c>
      <c r="E23" s="7" t="s">
        <v>171</v>
      </c>
      <c r="F23" s="7">
        <v>200000</v>
      </c>
      <c r="G23" s="5" t="s">
        <v>172</v>
      </c>
      <c r="H23" s="6" t="s">
        <v>110</v>
      </c>
      <c r="I23" s="6" t="s">
        <v>111</v>
      </c>
      <c r="J23" s="7">
        <v>46</v>
      </c>
      <c r="K23" s="8" t="s">
        <v>112</v>
      </c>
    </row>
    <row r="24" spans="1:11" ht="18" customHeight="1" x14ac:dyDescent="0.3">
      <c r="A24" s="9" t="s">
        <v>173</v>
      </c>
      <c r="B24" s="10" t="s">
        <v>174</v>
      </c>
      <c r="C24" s="11" t="s">
        <v>115</v>
      </c>
      <c r="D24" s="11" t="s">
        <v>175</v>
      </c>
      <c r="E24" s="12">
        <v>2</v>
      </c>
      <c r="F24" s="12">
        <v>45000</v>
      </c>
      <c r="G24" s="10" t="s">
        <v>176</v>
      </c>
      <c r="H24" s="11" t="s">
        <v>110</v>
      </c>
      <c r="I24" s="11" t="s">
        <v>117</v>
      </c>
      <c r="J24" s="12">
        <v>26</v>
      </c>
      <c r="K24" s="13" t="s">
        <v>118</v>
      </c>
    </row>
    <row r="25" spans="1:11" ht="18" customHeight="1" x14ac:dyDescent="0.3">
      <c r="A25" s="4" t="s">
        <v>177</v>
      </c>
      <c r="B25" s="5" t="s">
        <v>178</v>
      </c>
      <c r="C25" s="6" t="s">
        <v>107</v>
      </c>
      <c r="D25" s="6" t="s">
        <v>108</v>
      </c>
      <c r="E25" s="7">
        <v>6</v>
      </c>
      <c r="F25" s="7">
        <v>98000</v>
      </c>
      <c r="G25" s="5" t="s">
        <v>179</v>
      </c>
      <c r="H25" s="6" t="s">
        <v>110</v>
      </c>
      <c r="I25" s="6" t="s">
        <v>111</v>
      </c>
      <c r="J25" s="7">
        <v>31</v>
      </c>
      <c r="K25" s="8" t="s">
        <v>140</v>
      </c>
    </row>
    <row r="26" spans="1:11" ht="18" customHeight="1" x14ac:dyDescent="0.3">
      <c r="A26" s="9" t="s">
        <v>180</v>
      </c>
      <c r="B26" s="10" t="s">
        <v>181</v>
      </c>
      <c r="C26" s="11" t="s">
        <v>126</v>
      </c>
      <c r="D26" s="11" t="s">
        <v>182</v>
      </c>
      <c r="E26" s="12">
        <v>14</v>
      </c>
      <c r="F26" s="12">
        <v>185000</v>
      </c>
      <c r="G26" s="10" t="s">
        <v>183</v>
      </c>
      <c r="H26" s="11" t="s">
        <v>110</v>
      </c>
      <c r="I26" s="11" t="s">
        <v>117</v>
      </c>
      <c r="J26" s="12">
        <v>44</v>
      </c>
      <c r="K26" s="13" t="s">
        <v>112</v>
      </c>
    </row>
    <row r="27" spans="1:11" ht="18" customHeight="1" x14ac:dyDescent="0.3">
      <c r="A27" s="4" t="s">
        <v>184</v>
      </c>
      <c r="B27" s="5" t="s">
        <v>185</v>
      </c>
      <c r="C27" s="6" t="s">
        <v>143</v>
      </c>
      <c r="D27" s="6" t="s">
        <v>144</v>
      </c>
      <c r="E27" s="7">
        <v>1</v>
      </c>
      <c r="F27" s="7">
        <v>40000</v>
      </c>
      <c r="G27" s="5" t="s">
        <v>186</v>
      </c>
      <c r="H27" s="6" t="s">
        <v>110</v>
      </c>
      <c r="I27" s="6" t="s">
        <v>111</v>
      </c>
      <c r="J27" s="7">
        <v>23</v>
      </c>
      <c r="K27" s="8" t="s">
        <v>146</v>
      </c>
    </row>
    <row r="28" spans="1:11" ht="18" customHeight="1" x14ac:dyDescent="0.3">
      <c r="A28" s="9" t="s">
        <v>187</v>
      </c>
      <c r="B28" s="10" t="s">
        <v>188</v>
      </c>
      <c r="C28" s="11" t="s">
        <v>132</v>
      </c>
      <c r="D28" s="11" t="s">
        <v>154</v>
      </c>
      <c r="E28" s="12">
        <v>3</v>
      </c>
      <c r="F28" s="12">
        <v>58000</v>
      </c>
      <c r="G28" s="10" t="s">
        <v>189</v>
      </c>
      <c r="H28" s="11" t="s">
        <v>135</v>
      </c>
      <c r="I28" s="11" t="s">
        <v>117</v>
      </c>
      <c r="J28" s="12">
        <v>28</v>
      </c>
      <c r="K28" s="13" t="s">
        <v>151</v>
      </c>
    </row>
    <row r="29" spans="1:11" ht="18" customHeight="1" x14ac:dyDescent="0.3">
      <c r="A29" s="4" t="s">
        <v>190</v>
      </c>
      <c r="B29" s="5" t="s">
        <v>191</v>
      </c>
      <c r="C29" s="6" t="s">
        <v>107</v>
      </c>
      <c r="D29" s="6" t="s">
        <v>16</v>
      </c>
      <c r="E29" s="7">
        <v>8</v>
      </c>
      <c r="F29" s="7">
        <v>115000</v>
      </c>
      <c r="G29" s="5" t="s">
        <v>192</v>
      </c>
      <c r="H29" s="6" t="s">
        <v>110</v>
      </c>
      <c r="I29" s="6" t="s">
        <v>111</v>
      </c>
      <c r="J29" s="7">
        <v>35</v>
      </c>
      <c r="K29" s="8" t="s">
        <v>129</v>
      </c>
    </row>
    <row r="30" spans="1:11" ht="18" customHeight="1" x14ac:dyDescent="0.3">
      <c r="A30" s="14" t="s">
        <v>193</v>
      </c>
      <c r="B30" s="15" t="s">
        <v>194</v>
      </c>
      <c r="C30" s="16" t="s">
        <v>115</v>
      </c>
      <c r="D30" s="16" t="s">
        <v>195</v>
      </c>
      <c r="E30" s="17">
        <v>11</v>
      </c>
      <c r="F30" s="17">
        <v>155000</v>
      </c>
      <c r="G30" s="15" t="s">
        <v>196</v>
      </c>
      <c r="H30" s="16" t="s">
        <v>110</v>
      </c>
      <c r="I30" s="16" t="s">
        <v>117</v>
      </c>
      <c r="J30" s="17">
        <v>42</v>
      </c>
      <c r="K30" s="18" t="s">
        <v>112</v>
      </c>
    </row>
    <row r="31" spans="1:11" ht="7.95" customHeight="1" x14ac:dyDescent="0.3">
      <c r="A31" s="41"/>
      <c r="B31" s="41"/>
      <c r="C31" s="41"/>
      <c r="D31" s="41"/>
      <c r="E31" s="41"/>
      <c r="F31" s="41"/>
      <c r="G31" s="41"/>
      <c r="H31" s="41"/>
      <c r="I31" s="41"/>
      <c r="J31" s="41"/>
      <c r="K31" s="41"/>
    </row>
    <row r="32" spans="1:11" ht="25.95" customHeight="1" x14ac:dyDescent="0.3">
      <c r="A32" s="43" t="s">
        <v>197</v>
      </c>
      <c r="B32" s="41"/>
      <c r="C32" s="41"/>
      <c r="D32" s="41"/>
      <c r="E32" s="41"/>
      <c r="F32" s="41"/>
      <c r="G32" s="41"/>
      <c r="H32" s="41"/>
      <c r="I32" s="41"/>
      <c r="J32" s="41"/>
      <c r="K32" s="41"/>
    </row>
    <row r="33" spans="1:11" ht="30" customHeight="1" x14ac:dyDescent="0.3">
      <c r="A33" s="52" t="s">
        <v>198</v>
      </c>
      <c r="B33" s="41"/>
      <c r="C33" s="41"/>
      <c r="D33" s="41"/>
      <c r="E33" s="41"/>
      <c r="F33" s="41"/>
      <c r="G33" s="41"/>
      <c r="H33" s="41"/>
      <c r="I33" s="41"/>
      <c r="J33" s="41"/>
      <c r="K33" s="41"/>
    </row>
    <row r="34" spans="1:11" ht="42" customHeight="1" x14ac:dyDescent="0.3">
      <c r="A34" s="46" t="s">
        <v>69</v>
      </c>
      <c r="B34" s="41"/>
      <c r="C34" s="42" t="s">
        <v>199</v>
      </c>
      <c r="D34" s="41"/>
      <c r="E34" s="41"/>
      <c r="F34" s="41"/>
      <c r="G34" s="41"/>
      <c r="H34" s="41"/>
      <c r="I34" s="41"/>
      <c r="J34" s="41"/>
      <c r="K34" s="41"/>
    </row>
    <row r="35" spans="1:11" ht="6" customHeight="1" x14ac:dyDescent="0.3">
      <c r="A35" s="41"/>
      <c r="B35" s="41"/>
      <c r="C35" s="41"/>
      <c r="D35" s="41"/>
      <c r="E35" s="41"/>
      <c r="F35" s="41"/>
      <c r="G35" s="41"/>
      <c r="H35" s="41"/>
      <c r="I35" s="41"/>
      <c r="J35" s="41"/>
      <c r="K35" s="41"/>
    </row>
    <row r="36" spans="1:11" ht="30" customHeight="1" x14ac:dyDescent="0.3">
      <c r="A36" s="52" t="s">
        <v>200</v>
      </c>
      <c r="B36" s="41"/>
      <c r="C36" s="41"/>
      <c r="D36" s="41"/>
      <c r="E36" s="41"/>
      <c r="F36" s="41"/>
      <c r="G36" s="41"/>
      <c r="H36" s="41"/>
      <c r="I36" s="41"/>
      <c r="J36" s="41"/>
      <c r="K36" s="41"/>
    </row>
    <row r="37" spans="1:11" ht="42" customHeight="1" x14ac:dyDescent="0.3">
      <c r="A37" s="46" t="s">
        <v>69</v>
      </c>
      <c r="B37" s="41"/>
      <c r="C37" s="42" t="s">
        <v>201</v>
      </c>
      <c r="D37" s="41"/>
      <c r="E37" s="41"/>
      <c r="F37" s="41"/>
      <c r="G37" s="41"/>
      <c r="H37" s="41"/>
      <c r="I37" s="41"/>
      <c r="J37" s="41"/>
      <c r="K37" s="41"/>
    </row>
    <row r="38" spans="1:11" ht="6" customHeight="1" x14ac:dyDescent="0.3">
      <c r="A38" s="41"/>
      <c r="B38" s="41"/>
      <c r="C38" s="41"/>
      <c r="D38" s="41"/>
      <c r="E38" s="41"/>
      <c r="F38" s="41"/>
      <c r="G38" s="41"/>
      <c r="H38" s="41"/>
      <c r="I38" s="41"/>
      <c r="J38" s="41"/>
      <c r="K38" s="41"/>
    </row>
    <row r="39" spans="1:11" ht="30" customHeight="1" x14ac:dyDescent="0.3">
      <c r="A39" s="52" t="s">
        <v>202</v>
      </c>
      <c r="B39" s="41"/>
      <c r="C39" s="41"/>
      <c r="D39" s="41"/>
      <c r="E39" s="41"/>
      <c r="F39" s="41"/>
      <c r="G39" s="41"/>
      <c r="H39" s="41"/>
      <c r="I39" s="41"/>
      <c r="J39" s="41"/>
      <c r="K39" s="41"/>
    </row>
    <row r="40" spans="1:11" ht="42" customHeight="1" x14ac:dyDescent="0.3">
      <c r="A40" s="46" t="s">
        <v>69</v>
      </c>
      <c r="B40" s="41"/>
      <c r="C40" s="42" t="s">
        <v>203</v>
      </c>
      <c r="D40" s="41"/>
      <c r="E40" s="41"/>
      <c r="F40" s="41"/>
      <c r="G40" s="41"/>
      <c r="H40" s="41"/>
      <c r="I40" s="41"/>
      <c r="J40" s="41"/>
      <c r="K40" s="41"/>
    </row>
    <row r="41" spans="1:11" ht="6" customHeight="1" x14ac:dyDescent="0.3">
      <c r="A41" s="41"/>
      <c r="B41" s="41"/>
      <c r="C41" s="41"/>
      <c r="D41" s="41"/>
      <c r="E41" s="41"/>
      <c r="F41" s="41"/>
      <c r="G41" s="41"/>
      <c r="H41" s="41"/>
      <c r="I41" s="41"/>
      <c r="J41" s="41"/>
      <c r="K41" s="41"/>
    </row>
    <row r="42" spans="1:11" ht="30" customHeight="1" x14ac:dyDescent="0.3">
      <c r="A42" s="52" t="s">
        <v>204</v>
      </c>
      <c r="B42" s="41"/>
      <c r="C42" s="41"/>
      <c r="D42" s="41"/>
      <c r="E42" s="41"/>
      <c r="F42" s="41"/>
      <c r="G42" s="41"/>
      <c r="H42" s="41"/>
      <c r="I42" s="41"/>
      <c r="J42" s="41"/>
      <c r="K42" s="41"/>
    </row>
    <row r="43" spans="1:11" ht="42" customHeight="1" x14ac:dyDescent="0.3">
      <c r="A43" s="46" t="s">
        <v>69</v>
      </c>
      <c r="B43" s="41"/>
      <c r="C43" s="42" t="s">
        <v>205</v>
      </c>
      <c r="D43" s="41"/>
      <c r="E43" s="41"/>
      <c r="F43" s="41"/>
      <c r="G43" s="41"/>
      <c r="H43" s="41"/>
      <c r="I43" s="41"/>
      <c r="J43" s="41"/>
      <c r="K43" s="41"/>
    </row>
    <row r="44" spans="1:11" ht="6" customHeight="1" x14ac:dyDescent="0.3">
      <c r="A44" s="41"/>
      <c r="B44" s="41"/>
      <c r="C44" s="41"/>
      <c r="D44" s="41"/>
      <c r="E44" s="41"/>
      <c r="F44" s="41"/>
      <c r="G44" s="41"/>
      <c r="H44" s="41"/>
      <c r="I44" s="41"/>
      <c r="J44" s="41"/>
      <c r="K44" s="41"/>
    </row>
    <row r="45" spans="1:11" ht="30" customHeight="1" x14ac:dyDescent="0.3">
      <c r="A45" s="52" t="s">
        <v>206</v>
      </c>
      <c r="B45" s="41"/>
      <c r="C45" s="41"/>
      <c r="D45" s="41"/>
      <c r="E45" s="41"/>
      <c r="F45" s="41"/>
      <c r="G45" s="41"/>
      <c r="H45" s="41"/>
      <c r="I45" s="41"/>
      <c r="J45" s="41"/>
      <c r="K45" s="41"/>
    </row>
    <row r="46" spans="1:11" ht="42" customHeight="1" x14ac:dyDescent="0.3">
      <c r="A46" s="46" t="s">
        <v>69</v>
      </c>
      <c r="B46" s="41"/>
      <c r="C46" s="42" t="s">
        <v>207</v>
      </c>
      <c r="D46" s="41"/>
      <c r="E46" s="41"/>
      <c r="F46" s="41"/>
      <c r="G46" s="41"/>
      <c r="H46" s="41"/>
      <c r="I46" s="41"/>
      <c r="J46" s="41"/>
      <c r="K46" s="41"/>
    </row>
    <row r="47" spans="1:11" ht="6" customHeight="1" x14ac:dyDescent="0.3">
      <c r="A47" s="41"/>
      <c r="B47" s="41"/>
      <c r="C47" s="41"/>
      <c r="D47" s="41"/>
      <c r="E47" s="41"/>
      <c r="F47" s="41"/>
      <c r="G47" s="41"/>
      <c r="H47" s="41"/>
      <c r="I47" s="41"/>
      <c r="J47" s="41"/>
      <c r="K47" s="41"/>
    </row>
    <row r="48" spans="1:11" ht="30" customHeight="1" x14ac:dyDescent="0.3">
      <c r="A48" s="52" t="s">
        <v>208</v>
      </c>
      <c r="B48" s="41"/>
      <c r="C48" s="41"/>
      <c r="D48" s="41"/>
      <c r="E48" s="41"/>
      <c r="F48" s="41"/>
      <c r="G48" s="41"/>
      <c r="H48" s="41"/>
      <c r="I48" s="41"/>
      <c r="J48" s="41"/>
      <c r="K48" s="41"/>
    </row>
    <row r="49" spans="1:11" ht="42" customHeight="1" x14ac:dyDescent="0.3">
      <c r="A49" s="46" t="s">
        <v>69</v>
      </c>
      <c r="B49" s="41"/>
      <c r="C49" s="42" t="s">
        <v>209</v>
      </c>
      <c r="D49" s="41"/>
      <c r="E49" s="41"/>
      <c r="F49" s="41"/>
      <c r="G49" s="41"/>
      <c r="H49" s="41"/>
      <c r="I49" s="41"/>
      <c r="J49" s="41"/>
      <c r="K49" s="41"/>
    </row>
    <row r="50" spans="1:11" ht="6" customHeight="1" x14ac:dyDescent="0.3">
      <c r="A50" s="41"/>
      <c r="B50" s="41"/>
      <c r="C50" s="41"/>
      <c r="D50" s="41"/>
      <c r="E50" s="41"/>
      <c r="F50" s="41"/>
      <c r="G50" s="41"/>
      <c r="H50" s="41"/>
      <c r="I50" s="41"/>
      <c r="J50" s="41"/>
      <c r="K50" s="41"/>
    </row>
    <row r="51" spans="1:11" ht="25.95" customHeight="1" x14ac:dyDescent="0.3">
      <c r="A51" s="54" t="s">
        <v>210</v>
      </c>
      <c r="B51" s="41"/>
      <c r="C51" s="41"/>
      <c r="D51" s="41"/>
      <c r="E51" s="41"/>
      <c r="F51" s="41"/>
      <c r="G51" s="41"/>
      <c r="H51" s="41"/>
      <c r="I51" s="41"/>
      <c r="J51" s="41"/>
      <c r="K51" s="41"/>
    </row>
    <row r="52" spans="1:11" ht="22.05" customHeight="1" x14ac:dyDescent="0.3">
      <c r="A52" s="66" t="s">
        <v>211</v>
      </c>
      <c r="B52" s="45"/>
      <c r="C52" s="45"/>
      <c r="D52" s="45"/>
      <c r="E52" s="70" t="s">
        <v>212</v>
      </c>
      <c r="F52" s="45"/>
      <c r="G52" s="45"/>
      <c r="H52" s="45"/>
      <c r="I52" s="45"/>
      <c r="J52" s="45"/>
      <c r="K52" s="45"/>
    </row>
    <row r="53" spans="1:11" ht="22.05" customHeight="1" x14ac:dyDescent="0.3">
      <c r="A53" s="65" t="s">
        <v>213</v>
      </c>
      <c r="B53" s="45"/>
      <c r="C53" s="45"/>
      <c r="D53" s="45"/>
      <c r="E53" s="68" t="s">
        <v>214</v>
      </c>
      <c r="F53" s="45"/>
      <c r="G53" s="45"/>
      <c r="H53" s="45"/>
      <c r="I53" s="45"/>
      <c r="J53" s="45"/>
      <c r="K53" s="45"/>
    </row>
    <row r="54" spans="1:11" ht="22.05" customHeight="1" x14ac:dyDescent="0.3">
      <c r="A54" s="71" t="s">
        <v>215</v>
      </c>
      <c r="B54" s="45"/>
      <c r="C54" s="45"/>
      <c r="D54" s="45"/>
      <c r="E54" s="67" t="s">
        <v>216</v>
      </c>
      <c r="F54" s="45"/>
      <c r="G54" s="45"/>
      <c r="H54" s="45"/>
      <c r="I54" s="45"/>
      <c r="J54" s="45"/>
      <c r="K54" s="45"/>
    </row>
    <row r="55" spans="1:11" ht="22.05" customHeight="1" x14ac:dyDescent="0.3">
      <c r="A55" s="72" t="s">
        <v>217</v>
      </c>
      <c r="B55" s="45"/>
      <c r="C55" s="45"/>
      <c r="D55" s="45"/>
      <c r="E55" s="69" t="s">
        <v>218</v>
      </c>
      <c r="F55" s="45"/>
      <c r="G55" s="45"/>
      <c r="H55" s="45"/>
      <c r="I55" s="45"/>
      <c r="J55" s="45"/>
      <c r="K55" s="45"/>
    </row>
  </sheetData>
  <mergeCells count="44">
    <mergeCell ref="A55:D55"/>
    <mergeCell ref="A40:B40"/>
    <mergeCell ref="A44:K44"/>
    <mergeCell ref="A9:K9"/>
    <mergeCell ref="A34:B34"/>
    <mergeCell ref="A31:K31"/>
    <mergeCell ref="E55:K55"/>
    <mergeCell ref="A50:K50"/>
    <mergeCell ref="E52:K52"/>
    <mergeCell ref="A3:K3"/>
    <mergeCell ref="C37:K37"/>
    <mergeCell ref="A54:D54"/>
    <mergeCell ref="A33:K33"/>
    <mergeCell ref="A47:K47"/>
    <mergeCell ref="A42:K42"/>
    <mergeCell ref="A32:K32"/>
    <mergeCell ref="C49:K49"/>
    <mergeCell ref="C34:K34"/>
    <mergeCell ref="A5:K5"/>
    <mergeCell ref="A8:K8"/>
    <mergeCell ref="A35:K35"/>
    <mergeCell ref="A4:K4"/>
    <mergeCell ref="E54:K54"/>
    <mergeCell ref="A36:K36"/>
    <mergeCell ref="A1:K1"/>
    <mergeCell ref="C43:K43"/>
    <mergeCell ref="A45:K45"/>
    <mergeCell ref="C46:K46"/>
    <mergeCell ref="A6:K6"/>
    <mergeCell ref="E53:K53"/>
    <mergeCell ref="A7:K7"/>
    <mergeCell ref="A41:K41"/>
    <mergeCell ref="A37:B37"/>
    <mergeCell ref="A46:B46"/>
    <mergeCell ref="A2:K2"/>
    <mergeCell ref="A43:B43"/>
    <mergeCell ref="A38:K38"/>
    <mergeCell ref="A48:K48"/>
    <mergeCell ref="A53:D53"/>
    <mergeCell ref="A39:K39"/>
    <mergeCell ref="A49:B49"/>
    <mergeCell ref="C40:K40"/>
    <mergeCell ref="A51:K51"/>
    <mergeCell ref="A52:D5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3" width="14" customWidth="1"/>
    <col min="4" max="7" width="12" customWidth="1"/>
    <col min="8" max="9" width="14" customWidth="1"/>
    <col min="10" max="10" width="18" customWidth="1"/>
  </cols>
  <sheetData>
    <row r="1" spans="1:10" ht="43.95" customHeight="1" x14ac:dyDescent="0.3">
      <c r="A1" s="55" t="s">
        <v>219</v>
      </c>
      <c r="B1" s="41"/>
      <c r="C1" s="41"/>
      <c r="D1" s="41"/>
      <c r="E1" s="41"/>
      <c r="F1" s="41"/>
      <c r="G1" s="41"/>
      <c r="H1" s="41"/>
      <c r="I1" s="41"/>
      <c r="J1" s="41"/>
    </row>
    <row r="2" spans="1:10" ht="19.95" customHeight="1" x14ac:dyDescent="0.3">
      <c r="A2" s="64" t="s">
        <v>220</v>
      </c>
      <c r="B2" s="41"/>
      <c r="C2" s="41"/>
      <c r="D2" s="41"/>
      <c r="E2" s="41"/>
      <c r="F2" s="41"/>
      <c r="G2" s="41"/>
      <c r="H2" s="41"/>
      <c r="I2" s="41"/>
      <c r="J2" s="41"/>
    </row>
    <row r="3" spans="1:10" ht="25.95" customHeight="1" x14ac:dyDescent="0.3">
      <c r="A3" s="62" t="s">
        <v>2</v>
      </c>
      <c r="B3" s="41"/>
      <c r="C3" s="41"/>
      <c r="D3" s="41"/>
      <c r="E3" s="41"/>
      <c r="F3" s="41"/>
      <c r="G3" s="41"/>
      <c r="H3" s="41"/>
      <c r="I3" s="41"/>
      <c r="J3" s="41"/>
    </row>
    <row r="4" spans="1:10" ht="42" customHeight="1" x14ac:dyDescent="0.3">
      <c r="A4" s="48" t="s">
        <v>221</v>
      </c>
      <c r="B4" s="41"/>
      <c r="C4" s="41"/>
      <c r="D4" s="41"/>
      <c r="E4" s="41"/>
      <c r="F4" s="41"/>
      <c r="G4" s="41"/>
      <c r="H4" s="41"/>
      <c r="I4" s="41"/>
      <c r="J4" s="41"/>
    </row>
    <row r="5" spans="1:10" ht="7.95" customHeight="1" x14ac:dyDescent="0.3">
      <c r="A5" s="41"/>
      <c r="B5" s="41"/>
      <c r="C5" s="41"/>
      <c r="D5" s="41"/>
      <c r="E5" s="41"/>
      <c r="F5" s="41"/>
      <c r="G5" s="41"/>
      <c r="H5" s="41"/>
      <c r="I5" s="41"/>
      <c r="J5" s="41"/>
    </row>
    <row r="6" spans="1:10" ht="25.95" customHeight="1" x14ac:dyDescent="0.3">
      <c r="A6" s="56" t="s">
        <v>4</v>
      </c>
      <c r="B6" s="41"/>
      <c r="C6" s="41"/>
      <c r="D6" s="41"/>
      <c r="E6" s="41"/>
      <c r="F6" s="41"/>
      <c r="G6" s="41"/>
      <c r="H6" s="41"/>
      <c r="I6" s="41"/>
      <c r="J6" s="41"/>
    </row>
    <row r="7" spans="1:10" ht="40.049999999999997" customHeight="1" x14ac:dyDescent="0.3">
      <c r="A7" s="59" t="s">
        <v>222</v>
      </c>
      <c r="B7" s="41"/>
      <c r="C7" s="41"/>
      <c r="D7" s="41"/>
      <c r="E7" s="41"/>
      <c r="F7" s="41"/>
      <c r="G7" s="41"/>
      <c r="H7" s="41"/>
      <c r="I7" s="41"/>
      <c r="J7" s="41"/>
    </row>
    <row r="8" spans="1:10" ht="7.95" customHeight="1" x14ac:dyDescent="0.3">
      <c r="A8" s="41"/>
      <c r="B8" s="41"/>
      <c r="C8" s="41"/>
      <c r="D8" s="41"/>
      <c r="E8" s="41"/>
      <c r="F8" s="41"/>
      <c r="G8" s="41"/>
      <c r="H8" s="41"/>
      <c r="I8" s="41"/>
      <c r="J8" s="41"/>
    </row>
    <row r="9" spans="1:10" ht="25.95" customHeight="1" x14ac:dyDescent="0.3">
      <c r="A9" s="49" t="s">
        <v>223</v>
      </c>
      <c r="B9" s="50"/>
      <c r="C9" s="50"/>
      <c r="D9" s="50"/>
      <c r="E9" s="50"/>
      <c r="F9" s="50"/>
      <c r="G9" s="50"/>
      <c r="H9" s="50"/>
      <c r="I9" s="50"/>
      <c r="J9" s="51"/>
    </row>
    <row r="10" spans="1:10" ht="34.049999999999997" customHeight="1" x14ac:dyDescent="0.3">
      <c r="A10" s="1" t="s">
        <v>224</v>
      </c>
      <c r="B10" s="2" t="s">
        <v>225</v>
      </c>
      <c r="C10" s="2" t="s">
        <v>226</v>
      </c>
      <c r="D10" s="2" t="s">
        <v>227</v>
      </c>
      <c r="E10" s="2" t="s">
        <v>228</v>
      </c>
      <c r="F10" s="2" t="s">
        <v>229</v>
      </c>
      <c r="G10" s="2" t="s">
        <v>230</v>
      </c>
      <c r="H10" s="2" t="s">
        <v>231</v>
      </c>
      <c r="I10" s="2" t="s">
        <v>232</v>
      </c>
      <c r="J10" s="3" t="s">
        <v>233</v>
      </c>
    </row>
    <row r="11" spans="1:10" ht="18" customHeight="1" x14ac:dyDescent="0.3">
      <c r="A11" s="4" t="s">
        <v>234</v>
      </c>
      <c r="B11" s="5" t="s">
        <v>235</v>
      </c>
      <c r="C11" s="6" t="s">
        <v>236</v>
      </c>
      <c r="D11" s="7">
        <v>45</v>
      </c>
      <c r="E11" s="7">
        <v>3</v>
      </c>
      <c r="F11" s="7">
        <v>7</v>
      </c>
      <c r="G11" s="7">
        <v>52000</v>
      </c>
      <c r="H11" s="7">
        <v>25</v>
      </c>
      <c r="I11" s="6" t="s">
        <v>237</v>
      </c>
      <c r="J11" s="8" t="s">
        <v>238</v>
      </c>
    </row>
    <row r="12" spans="1:10" ht="18" customHeight="1" x14ac:dyDescent="0.3">
      <c r="A12" s="9" t="s">
        <v>239</v>
      </c>
      <c r="B12" s="10" t="s">
        <v>240</v>
      </c>
      <c r="C12" s="11" t="s">
        <v>236</v>
      </c>
      <c r="D12" s="12">
        <v>120</v>
      </c>
      <c r="E12" s="12">
        <v>8</v>
      </c>
      <c r="F12" s="12">
        <v>5</v>
      </c>
      <c r="G12" s="12">
        <v>1200</v>
      </c>
      <c r="H12" s="12">
        <v>45</v>
      </c>
      <c r="I12" s="11" t="s">
        <v>237</v>
      </c>
      <c r="J12" s="13" t="s">
        <v>241</v>
      </c>
    </row>
    <row r="13" spans="1:10" ht="18" customHeight="1" x14ac:dyDescent="0.3">
      <c r="A13" s="4" t="s">
        <v>242</v>
      </c>
      <c r="B13" s="5" t="s">
        <v>243</v>
      </c>
      <c r="C13" s="6" t="s">
        <v>244</v>
      </c>
      <c r="D13" s="7">
        <v>18</v>
      </c>
      <c r="E13" s="7">
        <v>2</v>
      </c>
      <c r="F13" s="7">
        <v>14</v>
      </c>
      <c r="G13" s="7">
        <v>8500</v>
      </c>
      <c r="H13" s="7">
        <v>30</v>
      </c>
      <c r="I13" s="6" t="s">
        <v>245</v>
      </c>
      <c r="J13" s="8" t="s">
        <v>246</v>
      </c>
    </row>
    <row r="14" spans="1:10" ht="18" customHeight="1" x14ac:dyDescent="0.3">
      <c r="A14" s="9" t="s">
        <v>247</v>
      </c>
      <c r="B14" s="10" t="s">
        <v>248</v>
      </c>
      <c r="C14" s="11" t="s">
        <v>249</v>
      </c>
      <c r="D14" s="12">
        <v>380</v>
      </c>
      <c r="E14" s="12">
        <v>25</v>
      </c>
      <c r="F14" s="12">
        <v>3</v>
      </c>
      <c r="G14" s="12">
        <v>350</v>
      </c>
      <c r="H14" s="12">
        <v>80</v>
      </c>
      <c r="I14" s="11" t="s">
        <v>250</v>
      </c>
      <c r="J14" s="13" t="s">
        <v>251</v>
      </c>
    </row>
    <row r="15" spans="1:10" ht="18" customHeight="1" x14ac:dyDescent="0.3">
      <c r="A15" s="4" t="s">
        <v>252</v>
      </c>
      <c r="B15" s="5" t="s">
        <v>253</v>
      </c>
      <c r="C15" s="6" t="s">
        <v>236</v>
      </c>
      <c r="D15" s="7">
        <v>67</v>
      </c>
      <c r="E15" s="7">
        <v>5</v>
      </c>
      <c r="F15" s="7">
        <v>6</v>
      </c>
      <c r="G15" s="7">
        <v>2800</v>
      </c>
      <c r="H15" s="7">
        <v>35</v>
      </c>
      <c r="I15" s="6" t="s">
        <v>237</v>
      </c>
      <c r="J15" s="8" t="s">
        <v>254</v>
      </c>
    </row>
    <row r="16" spans="1:10" ht="18" customHeight="1" x14ac:dyDescent="0.3">
      <c r="A16" s="9" t="s">
        <v>255</v>
      </c>
      <c r="B16" s="10" t="s">
        <v>256</v>
      </c>
      <c r="C16" s="11" t="s">
        <v>244</v>
      </c>
      <c r="D16" s="12">
        <v>8</v>
      </c>
      <c r="E16" s="12">
        <v>1</v>
      </c>
      <c r="F16" s="12">
        <v>21</v>
      </c>
      <c r="G16" s="12">
        <v>22000</v>
      </c>
      <c r="H16" s="12">
        <v>25</v>
      </c>
      <c r="I16" s="11" t="s">
        <v>245</v>
      </c>
      <c r="J16" s="13" t="s">
        <v>257</v>
      </c>
    </row>
    <row r="17" spans="1:10" ht="18" customHeight="1" x14ac:dyDescent="0.3">
      <c r="A17" s="4" t="s">
        <v>258</v>
      </c>
      <c r="B17" s="5" t="s">
        <v>259</v>
      </c>
      <c r="C17" s="6" t="s">
        <v>249</v>
      </c>
      <c r="D17" s="7">
        <v>520</v>
      </c>
      <c r="E17" s="7">
        <v>40</v>
      </c>
      <c r="F17" s="7">
        <v>2</v>
      </c>
      <c r="G17" s="7">
        <v>120</v>
      </c>
      <c r="H17" s="7">
        <v>100</v>
      </c>
      <c r="I17" s="6" t="s">
        <v>250</v>
      </c>
      <c r="J17" s="8" t="s">
        <v>260</v>
      </c>
    </row>
    <row r="18" spans="1:10" ht="18" customHeight="1" x14ac:dyDescent="0.3">
      <c r="A18" s="9" t="s">
        <v>261</v>
      </c>
      <c r="B18" s="10" t="s">
        <v>262</v>
      </c>
      <c r="C18" s="11" t="s">
        <v>236</v>
      </c>
      <c r="D18" s="12">
        <v>29</v>
      </c>
      <c r="E18" s="12">
        <v>2</v>
      </c>
      <c r="F18" s="12">
        <v>10</v>
      </c>
      <c r="G18" s="12">
        <v>18500</v>
      </c>
      <c r="H18" s="12">
        <v>25</v>
      </c>
      <c r="I18" s="11" t="s">
        <v>237</v>
      </c>
      <c r="J18" s="13" t="s">
        <v>263</v>
      </c>
    </row>
    <row r="19" spans="1:10" ht="18" customHeight="1" x14ac:dyDescent="0.3">
      <c r="A19" s="4" t="s">
        <v>264</v>
      </c>
      <c r="B19" s="5" t="s">
        <v>265</v>
      </c>
      <c r="C19" s="6" t="s">
        <v>249</v>
      </c>
      <c r="D19" s="7">
        <v>850</v>
      </c>
      <c r="E19" s="7">
        <v>60</v>
      </c>
      <c r="F19" s="7">
        <v>2</v>
      </c>
      <c r="G19" s="7">
        <v>85</v>
      </c>
      <c r="H19" s="7">
        <v>150</v>
      </c>
      <c r="I19" s="6" t="s">
        <v>250</v>
      </c>
      <c r="J19" s="8" t="s">
        <v>266</v>
      </c>
    </row>
    <row r="20" spans="1:10" ht="18" customHeight="1" x14ac:dyDescent="0.3">
      <c r="A20" s="9" t="s">
        <v>267</v>
      </c>
      <c r="B20" s="10" t="s">
        <v>268</v>
      </c>
      <c r="C20" s="11" t="s">
        <v>236</v>
      </c>
      <c r="D20" s="12">
        <v>95</v>
      </c>
      <c r="E20" s="12">
        <v>6</v>
      </c>
      <c r="F20" s="12">
        <v>5</v>
      </c>
      <c r="G20" s="12">
        <v>4500</v>
      </c>
      <c r="H20" s="12">
        <v>35</v>
      </c>
      <c r="I20" s="11" t="s">
        <v>237</v>
      </c>
      <c r="J20" s="13" t="s">
        <v>269</v>
      </c>
    </row>
    <row r="21" spans="1:10" ht="18" customHeight="1" x14ac:dyDescent="0.3">
      <c r="A21" s="4" t="s">
        <v>270</v>
      </c>
      <c r="B21" s="5" t="s">
        <v>271</v>
      </c>
      <c r="C21" s="6" t="s">
        <v>244</v>
      </c>
      <c r="D21" s="7">
        <v>12</v>
      </c>
      <c r="E21" s="7">
        <v>1</v>
      </c>
      <c r="F21" s="7">
        <v>18</v>
      </c>
      <c r="G21" s="7">
        <v>6800</v>
      </c>
      <c r="H21" s="7">
        <v>20</v>
      </c>
      <c r="I21" s="6" t="s">
        <v>245</v>
      </c>
      <c r="J21" s="8" t="s">
        <v>272</v>
      </c>
    </row>
    <row r="22" spans="1:10" ht="18" customHeight="1" x14ac:dyDescent="0.3">
      <c r="A22" s="9" t="s">
        <v>273</v>
      </c>
      <c r="B22" s="10" t="s">
        <v>274</v>
      </c>
      <c r="C22" s="11" t="s">
        <v>236</v>
      </c>
      <c r="D22" s="12">
        <v>210</v>
      </c>
      <c r="E22" s="12">
        <v>12</v>
      </c>
      <c r="F22" s="12">
        <v>4</v>
      </c>
      <c r="G22" s="12">
        <v>650</v>
      </c>
      <c r="H22" s="12">
        <v>55</v>
      </c>
      <c r="I22" s="11" t="s">
        <v>237</v>
      </c>
      <c r="J22" s="13" t="s">
        <v>275</v>
      </c>
    </row>
    <row r="23" spans="1:10" ht="18" customHeight="1" x14ac:dyDescent="0.3">
      <c r="A23" s="4" t="s">
        <v>276</v>
      </c>
      <c r="B23" s="5" t="s">
        <v>277</v>
      </c>
      <c r="C23" s="6" t="s">
        <v>249</v>
      </c>
      <c r="D23" s="7">
        <v>175</v>
      </c>
      <c r="E23" s="7">
        <v>8</v>
      </c>
      <c r="F23" s="7">
        <v>3</v>
      </c>
      <c r="G23" s="7">
        <v>280</v>
      </c>
      <c r="H23" s="7">
        <v>30</v>
      </c>
      <c r="I23" s="6" t="s">
        <v>250</v>
      </c>
      <c r="J23" s="8" t="s">
        <v>278</v>
      </c>
    </row>
    <row r="24" spans="1:10" ht="18" customHeight="1" x14ac:dyDescent="0.3">
      <c r="A24" s="9" t="s">
        <v>279</v>
      </c>
      <c r="B24" s="10" t="s">
        <v>280</v>
      </c>
      <c r="C24" s="11" t="s">
        <v>236</v>
      </c>
      <c r="D24" s="12">
        <v>38</v>
      </c>
      <c r="E24" s="12">
        <v>3</v>
      </c>
      <c r="F24" s="12">
        <v>7</v>
      </c>
      <c r="G24" s="12">
        <v>3200</v>
      </c>
      <c r="H24" s="12">
        <v>25</v>
      </c>
      <c r="I24" s="11" t="s">
        <v>237</v>
      </c>
      <c r="J24" s="13" t="s">
        <v>281</v>
      </c>
    </row>
    <row r="25" spans="1:10" ht="18" customHeight="1" x14ac:dyDescent="0.3">
      <c r="A25" s="4" t="s">
        <v>282</v>
      </c>
      <c r="B25" s="5" t="s">
        <v>283</v>
      </c>
      <c r="C25" s="6" t="s">
        <v>244</v>
      </c>
      <c r="D25" s="7">
        <v>6</v>
      </c>
      <c r="E25" s="7">
        <v>0</v>
      </c>
      <c r="F25" s="7">
        <v>25</v>
      </c>
      <c r="G25" s="7">
        <v>12000</v>
      </c>
      <c r="H25" s="7">
        <v>10</v>
      </c>
      <c r="I25" s="6" t="s">
        <v>245</v>
      </c>
      <c r="J25" s="8" t="s">
        <v>284</v>
      </c>
    </row>
    <row r="26" spans="1:10" ht="18" customHeight="1" x14ac:dyDescent="0.3">
      <c r="A26" s="9" t="s">
        <v>285</v>
      </c>
      <c r="B26" s="10" t="s">
        <v>286</v>
      </c>
      <c r="C26" s="11" t="s">
        <v>236</v>
      </c>
      <c r="D26" s="12">
        <v>55</v>
      </c>
      <c r="E26" s="12">
        <v>4</v>
      </c>
      <c r="F26" s="12">
        <v>6</v>
      </c>
      <c r="G26" s="12">
        <v>2100</v>
      </c>
      <c r="H26" s="12">
        <v>28</v>
      </c>
      <c r="I26" s="11" t="s">
        <v>237</v>
      </c>
      <c r="J26" s="13" t="s">
        <v>287</v>
      </c>
    </row>
    <row r="27" spans="1:10" ht="18" customHeight="1" x14ac:dyDescent="0.3">
      <c r="A27" s="4" t="s">
        <v>288</v>
      </c>
      <c r="B27" s="5" t="s">
        <v>289</v>
      </c>
      <c r="C27" s="6" t="s">
        <v>249</v>
      </c>
      <c r="D27" s="7">
        <v>960</v>
      </c>
      <c r="E27" s="7">
        <v>50</v>
      </c>
      <c r="F27" s="7">
        <v>2</v>
      </c>
      <c r="G27" s="7">
        <v>60</v>
      </c>
      <c r="H27" s="7">
        <v>120</v>
      </c>
      <c r="I27" s="6" t="s">
        <v>250</v>
      </c>
      <c r="J27" s="8" t="s">
        <v>290</v>
      </c>
    </row>
    <row r="28" spans="1:10" ht="18" customHeight="1" x14ac:dyDescent="0.3">
      <c r="A28" s="9" t="s">
        <v>291</v>
      </c>
      <c r="B28" s="10" t="s">
        <v>292</v>
      </c>
      <c r="C28" s="11" t="s">
        <v>236</v>
      </c>
      <c r="D28" s="12">
        <v>14</v>
      </c>
      <c r="E28" s="12">
        <v>1</v>
      </c>
      <c r="F28" s="12">
        <v>12</v>
      </c>
      <c r="G28" s="12">
        <v>28000</v>
      </c>
      <c r="H28" s="12">
        <v>15</v>
      </c>
      <c r="I28" s="11" t="s">
        <v>237</v>
      </c>
      <c r="J28" s="13" t="s">
        <v>293</v>
      </c>
    </row>
    <row r="29" spans="1:10" ht="18" customHeight="1" x14ac:dyDescent="0.3">
      <c r="A29" s="4" t="s">
        <v>294</v>
      </c>
      <c r="B29" s="5" t="s">
        <v>295</v>
      </c>
      <c r="C29" s="6" t="s">
        <v>244</v>
      </c>
      <c r="D29" s="7">
        <v>9</v>
      </c>
      <c r="E29" s="7">
        <v>0</v>
      </c>
      <c r="F29" s="7">
        <v>20</v>
      </c>
      <c r="G29" s="7">
        <v>5500</v>
      </c>
      <c r="H29" s="7">
        <v>8</v>
      </c>
      <c r="I29" s="6" t="s">
        <v>245</v>
      </c>
      <c r="J29" s="8" t="s">
        <v>296</v>
      </c>
    </row>
    <row r="30" spans="1:10" ht="18" customHeight="1" x14ac:dyDescent="0.3">
      <c r="A30" s="14" t="s">
        <v>297</v>
      </c>
      <c r="B30" s="15" t="s">
        <v>298</v>
      </c>
      <c r="C30" s="16" t="s">
        <v>249</v>
      </c>
      <c r="D30" s="17">
        <v>88</v>
      </c>
      <c r="E30" s="17">
        <v>7</v>
      </c>
      <c r="F30" s="17">
        <v>4</v>
      </c>
      <c r="G30" s="17">
        <v>1800</v>
      </c>
      <c r="H30" s="17">
        <v>32</v>
      </c>
      <c r="I30" s="16" t="s">
        <v>250</v>
      </c>
      <c r="J30" s="18" t="s">
        <v>299</v>
      </c>
    </row>
    <row r="31" spans="1:10" ht="7.95" customHeight="1" x14ac:dyDescent="0.3">
      <c r="A31" s="41"/>
      <c r="B31" s="41"/>
      <c r="C31" s="41"/>
      <c r="D31" s="41"/>
      <c r="E31" s="41"/>
      <c r="F31" s="41"/>
      <c r="G31" s="41"/>
      <c r="H31" s="41"/>
      <c r="I31" s="41"/>
      <c r="J31" s="41"/>
    </row>
    <row r="32" spans="1:10" ht="25.95" customHeight="1" x14ac:dyDescent="0.3">
      <c r="A32" s="43" t="s">
        <v>197</v>
      </c>
      <c r="B32" s="41"/>
      <c r="C32" s="41"/>
      <c r="D32" s="41"/>
      <c r="E32" s="41"/>
      <c r="F32" s="41"/>
      <c r="G32" s="41"/>
      <c r="H32" s="41"/>
      <c r="I32" s="41"/>
      <c r="J32" s="41"/>
    </row>
    <row r="33" spans="1:10" ht="30" customHeight="1" x14ac:dyDescent="0.3">
      <c r="A33" s="52" t="s">
        <v>300</v>
      </c>
      <c r="B33" s="41"/>
      <c r="C33" s="41"/>
      <c r="D33" s="41"/>
      <c r="E33" s="41"/>
      <c r="F33" s="41"/>
      <c r="G33" s="41"/>
      <c r="H33" s="41"/>
      <c r="I33" s="41"/>
      <c r="J33" s="41"/>
    </row>
    <row r="34" spans="1:10" ht="42" customHeight="1" x14ac:dyDescent="0.3">
      <c r="A34" s="46" t="s">
        <v>69</v>
      </c>
      <c r="B34" s="41"/>
      <c r="C34" s="42" t="s">
        <v>301</v>
      </c>
      <c r="D34" s="41"/>
      <c r="E34" s="41"/>
      <c r="F34" s="41"/>
      <c r="G34" s="41"/>
      <c r="H34" s="41"/>
      <c r="I34" s="41"/>
      <c r="J34" s="41"/>
    </row>
    <row r="35" spans="1:10" ht="6" customHeight="1" x14ac:dyDescent="0.3">
      <c r="A35" s="41"/>
      <c r="B35" s="41"/>
      <c r="C35" s="41"/>
      <c r="D35" s="41"/>
      <c r="E35" s="41"/>
      <c r="F35" s="41"/>
      <c r="G35" s="41"/>
      <c r="H35" s="41"/>
      <c r="I35" s="41"/>
      <c r="J35" s="41"/>
    </row>
    <row r="36" spans="1:10" ht="30" customHeight="1" x14ac:dyDescent="0.3">
      <c r="A36" s="52" t="s">
        <v>302</v>
      </c>
      <c r="B36" s="41"/>
      <c r="C36" s="41"/>
      <c r="D36" s="41"/>
      <c r="E36" s="41"/>
      <c r="F36" s="41"/>
      <c r="G36" s="41"/>
      <c r="H36" s="41"/>
      <c r="I36" s="41"/>
      <c r="J36" s="41"/>
    </row>
    <row r="37" spans="1:10" ht="42" customHeight="1" x14ac:dyDescent="0.3">
      <c r="A37" s="46" t="s">
        <v>69</v>
      </c>
      <c r="B37" s="41"/>
      <c r="C37" s="42" t="s">
        <v>303</v>
      </c>
      <c r="D37" s="41"/>
      <c r="E37" s="41"/>
      <c r="F37" s="41"/>
      <c r="G37" s="41"/>
      <c r="H37" s="41"/>
      <c r="I37" s="41"/>
      <c r="J37" s="41"/>
    </row>
    <row r="38" spans="1:10" ht="6" customHeight="1" x14ac:dyDescent="0.3">
      <c r="A38" s="41"/>
      <c r="B38" s="41"/>
      <c r="C38" s="41"/>
      <c r="D38" s="41"/>
      <c r="E38" s="41"/>
      <c r="F38" s="41"/>
      <c r="G38" s="41"/>
      <c r="H38" s="41"/>
      <c r="I38" s="41"/>
      <c r="J38" s="41"/>
    </row>
    <row r="39" spans="1:10" ht="30" customHeight="1" x14ac:dyDescent="0.3">
      <c r="A39" s="52" t="s">
        <v>304</v>
      </c>
      <c r="B39" s="41"/>
      <c r="C39" s="41"/>
      <c r="D39" s="41"/>
      <c r="E39" s="41"/>
      <c r="F39" s="41"/>
      <c r="G39" s="41"/>
      <c r="H39" s="41"/>
      <c r="I39" s="41"/>
      <c r="J39" s="41"/>
    </row>
    <row r="40" spans="1:10" ht="42" customHeight="1" x14ac:dyDescent="0.3">
      <c r="A40" s="46" t="s">
        <v>69</v>
      </c>
      <c r="B40" s="41"/>
      <c r="C40" s="42" t="s">
        <v>305</v>
      </c>
      <c r="D40" s="41"/>
      <c r="E40" s="41"/>
      <c r="F40" s="41"/>
      <c r="G40" s="41"/>
      <c r="H40" s="41"/>
      <c r="I40" s="41"/>
      <c r="J40" s="41"/>
    </row>
    <row r="41" spans="1:10" ht="6" customHeight="1" x14ac:dyDescent="0.3">
      <c r="A41" s="41"/>
      <c r="B41" s="41"/>
      <c r="C41" s="41"/>
      <c r="D41" s="41"/>
      <c r="E41" s="41"/>
      <c r="F41" s="41"/>
      <c r="G41" s="41"/>
      <c r="H41" s="41"/>
      <c r="I41" s="41"/>
      <c r="J41" s="41"/>
    </row>
    <row r="42" spans="1:10" ht="30" customHeight="1" x14ac:dyDescent="0.3">
      <c r="A42" s="52" t="s">
        <v>306</v>
      </c>
      <c r="B42" s="41"/>
      <c r="C42" s="41"/>
      <c r="D42" s="41"/>
      <c r="E42" s="41"/>
      <c r="F42" s="41"/>
      <c r="G42" s="41"/>
      <c r="H42" s="41"/>
      <c r="I42" s="41"/>
      <c r="J42" s="41"/>
    </row>
    <row r="43" spans="1:10" ht="42" customHeight="1" x14ac:dyDescent="0.3">
      <c r="A43" s="46" t="s">
        <v>69</v>
      </c>
      <c r="B43" s="41"/>
      <c r="C43" s="42" t="s">
        <v>307</v>
      </c>
      <c r="D43" s="41"/>
      <c r="E43" s="41"/>
      <c r="F43" s="41"/>
      <c r="G43" s="41"/>
      <c r="H43" s="41"/>
      <c r="I43" s="41"/>
      <c r="J43" s="41"/>
    </row>
    <row r="44" spans="1:10" ht="6" customHeight="1" x14ac:dyDescent="0.3">
      <c r="A44" s="41"/>
      <c r="B44" s="41"/>
      <c r="C44" s="41"/>
      <c r="D44" s="41"/>
      <c r="E44" s="41"/>
      <c r="F44" s="41"/>
      <c r="G44" s="41"/>
      <c r="H44" s="41"/>
      <c r="I44" s="41"/>
      <c r="J44" s="41"/>
    </row>
    <row r="45" spans="1:10" ht="30" customHeight="1" x14ac:dyDescent="0.3">
      <c r="A45" s="52" t="s">
        <v>308</v>
      </c>
      <c r="B45" s="41"/>
      <c r="C45" s="41"/>
      <c r="D45" s="41"/>
      <c r="E45" s="41"/>
      <c r="F45" s="41"/>
      <c r="G45" s="41"/>
      <c r="H45" s="41"/>
      <c r="I45" s="41"/>
      <c r="J45" s="41"/>
    </row>
    <row r="46" spans="1:10" ht="42" customHeight="1" x14ac:dyDescent="0.3">
      <c r="A46" s="46" t="s">
        <v>69</v>
      </c>
      <c r="B46" s="41"/>
      <c r="C46" s="42" t="s">
        <v>309</v>
      </c>
      <c r="D46" s="41"/>
      <c r="E46" s="41"/>
      <c r="F46" s="41"/>
      <c r="G46" s="41"/>
      <c r="H46" s="41"/>
      <c r="I46" s="41"/>
      <c r="J46" s="41"/>
    </row>
    <row r="47" spans="1:10" ht="6" customHeight="1" x14ac:dyDescent="0.3">
      <c r="A47" s="41"/>
      <c r="B47" s="41"/>
      <c r="C47" s="41"/>
      <c r="D47" s="41"/>
      <c r="E47" s="41"/>
      <c r="F47" s="41"/>
      <c r="G47" s="41"/>
      <c r="H47" s="41"/>
      <c r="I47" s="41"/>
      <c r="J47" s="41"/>
    </row>
    <row r="48" spans="1:10" ht="30" customHeight="1" x14ac:dyDescent="0.3">
      <c r="A48" s="52" t="s">
        <v>310</v>
      </c>
      <c r="B48" s="41"/>
      <c r="C48" s="41"/>
      <c r="D48" s="41"/>
      <c r="E48" s="41"/>
      <c r="F48" s="41"/>
      <c r="G48" s="41"/>
      <c r="H48" s="41"/>
      <c r="I48" s="41"/>
      <c r="J48" s="41"/>
    </row>
    <row r="49" spans="1:10" ht="42" customHeight="1" x14ac:dyDescent="0.3">
      <c r="A49" s="46" t="s">
        <v>69</v>
      </c>
      <c r="B49" s="41"/>
      <c r="C49" s="42" t="s">
        <v>311</v>
      </c>
      <c r="D49" s="41"/>
      <c r="E49" s="41"/>
      <c r="F49" s="41"/>
      <c r="G49" s="41"/>
      <c r="H49" s="41"/>
      <c r="I49" s="41"/>
      <c r="J49" s="41"/>
    </row>
    <row r="50" spans="1:10" ht="6" customHeight="1" x14ac:dyDescent="0.3">
      <c r="A50" s="41"/>
      <c r="B50" s="41"/>
      <c r="C50" s="41"/>
      <c r="D50" s="41"/>
      <c r="E50" s="41"/>
      <c r="F50" s="41"/>
      <c r="G50" s="41"/>
      <c r="H50" s="41"/>
      <c r="I50" s="41"/>
      <c r="J50" s="41"/>
    </row>
    <row r="51" spans="1:10" ht="25.95" customHeight="1" x14ac:dyDescent="0.3">
      <c r="A51" s="54" t="s">
        <v>210</v>
      </c>
      <c r="B51" s="41"/>
      <c r="C51" s="41"/>
      <c r="D51" s="41"/>
      <c r="E51" s="41"/>
      <c r="F51" s="41"/>
      <c r="G51" s="41"/>
      <c r="H51" s="41"/>
      <c r="I51" s="41"/>
      <c r="J51" s="41"/>
    </row>
    <row r="52" spans="1:10" ht="22.05" customHeight="1" x14ac:dyDescent="0.3">
      <c r="A52" s="66" t="s">
        <v>312</v>
      </c>
      <c r="B52" s="45"/>
      <c r="C52" s="45"/>
      <c r="D52" s="45"/>
      <c r="E52" s="70" t="s">
        <v>313</v>
      </c>
      <c r="F52" s="45"/>
      <c r="G52" s="45"/>
      <c r="H52" s="45"/>
      <c r="I52" s="45"/>
      <c r="J52" s="45"/>
    </row>
    <row r="53" spans="1:10" ht="22.05" customHeight="1" x14ac:dyDescent="0.3">
      <c r="A53" s="65" t="s">
        <v>314</v>
      </c>
      <c r="B53" s="45"/>
      <c r="C53" s="45"/>
      <c r="D53" s="45"/>
      <c r="E53" s="68" t="s">
        <v>315</v>
      </c>
      <c r="F53" s="45"/>
      <c r="G53" s="45"/>
      <c r="H53" s="45"/>
      <c r="I53" s="45"/>
      <c r="J53" s="45"/>
    </row>
    <row r="54" spans="1:10" ht="22.05" customHeight="1" x14ac:dyDescent="0.3">
      <c r="A54" s="71" t="s">
        <v>316</v>
      </c>
      <c r="B54" s="45"/>
      <c r="C54" s="45"/>
      <c r="D54" s="45"/>
      <c r="E54" s="67" t="s">
        <v>317</v>
      </c>
      <c r="F54" s="45"/>
      <c r="G54" s="45"/>
      <c r="H54" s="45"/>
      <c r="I54" s="45"/>
      <c r="J54" s="45"/>
    </row>
    <row r="55" spans="1:10" ht="22.05" customHeight="1" x14ac:dyDescent="0.3">
      <c r="A55" s="72" t="s">
        <v>318</v>
      </c>
      <c r="B55" s="45"/>
      <c r="C55" s="45"/>
      <c r="D55" s="45"/>
      <c r="E55" s="69" t="s">
        <v>319</v>
      </c>
      <c r="F55" s="45"/>
      <c r="G55" s="45"/>
      <c r="H55" s="45"/>
      <c r="I55" s="45"/>
      <c r="J55" s="45"/>
    </row>
  </sheetData>
  <mergeCells count="44">
    <mergeCell ref="E55:J55"/>
    <mergeCell ref="A43:B43"/>
    <mergeCell ref="E52:J52"/>
    <mergeCell ref="A3:J3"/>
    <mergeCell ref="A55:D55"/>
    <mergeCell ref="A50:J50"/>
    <mergeCell ref="A42:J42"/>
    <mergeCell ref="A33:J33"/>
    <mergeCell ref="A40:B40"/>
    <mergeCell ref="E54:J54"/>
    <mergeCell ref="C40:J40"/>
    <mergeCell ref="A34:B34"/>
    <mergeCell ref="A51:J51"/>
    <mergeCell ref="A1:J1"/>
    <mergeCell ref="A45:J45"/>
    <mergeCell ref="A36:J36"/>
    <mergeCell ref="A6:J6"/>
    <mergeCell ref="C43:J43"/>
    <mergeCell ref="C46:J46"/>
    <mergeCell ref="A54:D54"/>
    <mergeCell ref="E53:J53"/>
    <mergeCell ref="A7:J7"/>
    <mergeCell ref="A41:J41"/>
    <mergeCell ref="A2:J2"/>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A47:J47"/>
    <mergeCell ref="A5:J5"/>
    <mergeCell ref="C34:J34"/>
    <mergeCell ref="A32:J32"/>
    <mergeCell ref="A8:J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7"/>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7" width="14" customWidth="1"/>
    <col min="8" max="9" width="12" customWidth="1"/>
    <col min="10" max="10" width="18" customWidth="1"/>
  </cols>
  <sheetData>
    <row r="1" spans="1:10" ht="43.95" customHeight="1" x14ac:dyDescent="0.3">
      <c r="A1" s="55" t="s">
        <v>320</v>
      </c>
      <c r="B1" s="41"/>
      <c r="C1" s="41"/>
      <c r="D1" s="41"/>
      <c r="E1" s="41"/>
      <c r="F1" s="41"/>
      <c r="G1" s="41"/>
      <c r="H1" s="41"/>
      <c r="I1" s="41"/>
      <c r="J1" s="41"/>
    </row>
    <row r="2" spans="1:10" ht="19.95" customHeight="1" x14ac:dyDescent="0.3">
      <c r="A2" s="64" t="s">
        <v>321</v>
      </c>
      <c r="B2" s="41"/>
      <c r="C2" s="41"/>
      <c r="D2" s="41"/>
      <c r="E2" s="41"/>
      <c r="F2" s="41"/>
      <c r="G2" s="41"/>
      <c r="H2" s="41"/>
      <c r="I2" s="41"/>
      <c r="J2" s="41"/>
    </row>
    <row r="3" spans="1:10" ht="25.95" customHeight="1" x14ac:dyDescent="0.3">
      <c r="A3" s="62" t="s">
        <v>2</v>
      </c>
      <c r="B3" s="41"/>
      <c r="C3" s="41"/>
      <c r="D3" s="41"/>
      <c r="E3" s="41"/>
      <c r="F3" s="41"/>
      <c r="G3" s="41"/>
      <c r="H3" s="41"/>
      <c r="I3" s="41"/>
      <c r="J3" s="41"/>
    </row>
    <row r="4" spans="1:10" ht="42" customHeight="1" x14ac:dyDescent="0.3">
      <c r="A4" s="48" t="s">
        <v>322</v>
      </c>
      <c r="B4" s="41"/>
      <c r="C4" s="41"/>
      <c r="D4" s="41"/>
      <c r="E4" s="41"/>
      <c r="F4" s="41"/>
      <c r="G4" s="41"/>
      <c r="H4" s="41"/>
      <c r="I4" s="41"/>
      <c r="J4" s="41"/>
    </row>
    <row r="5" spans="1:10" ht="7.95" customHeight="1" x14ac:dyDescent="0.3">
      <c r="A5" s="41"/>
      <c r="B5" s="41"/>
      <c r="C5" s="41"/>
      <c r="D5" s="41"/>
      <c r="E5" s="41"/>
      <c r="F5" s="41"/>
      <c r="G5" s="41"/>
      <c r="H5" s="41"/>
      <c r="I5" s="41"/>
      <c r="J5" s="41"/>
    </row>
    <row r="6" spans="1:10" ht="25.95" customHeight="1" x14ac:dyDescent="0.3">
      <c r="A6" s="56" t="s">
        <v>4</v>
      </c>
      <c r="B6" s="41"/>
      <c r="C6" s="41"/>
      <c r="D6" s="41"/>
      <c r="E6" s="41"/>
      <c r="F6" s="41"/>
      <c r="G6" s="41"/>
      <c r="H6" s="41"/>
      <c r="I6" s="41"/>
      <c r="J6" s="41"/>
    </row>
    <row r="7" spans="1:10" ht="37.950000000000003" customHeight="1" x14ac:dyDescent="0.3">
      <c r="A7" s="59" t="s">
        <v>323</v>
      </c>
      <c r="B7" s="41"/>
      <c r="C7" s="41"/>
      <c r="D7" s="41"/>
      <c r="E7" s="41"/>
      <c r="F7" s="41"/>
      <c r="G7" s="41"/>
      <c r="H7" s="41"/>
      <c r="I7" s="41"/>
      <c r="J7" s="41"/>
    </row>
    <row r="8" spans="1:10" ht="7.95" customHeight="1" x14ac:dyDescent="0.3">
      <c r="A8" s="41"/>
      <c r="B8" s="41"/>
      <c r="C8" s="41"/>
      <c r="D8" s="41"/>
      <c r="E8" s="41"/>
      <c r="F8" s="41"/>
      <c r="G8" s="41"/>
      <c r="H8" s="41"/>
      <c r="I8" s="41"/>
      <c r="J8" s="41"/>
    </row>
    <row r="9" spans="1:10" ht="25.95" customHeight="1" x14ac:dyDescent="0.3">
      <c r="A9" s="49" t="s">
        <v>324</v>
      </c>
      <c r="B9" s="50"/>
      <c r="C9" s="50"/>
      <c r="D9" s="50"/>
      <c r="E9" s="50"/>
      <c r="F9" s="50"/>
      <c r="G9" s="50"/>
      <c r="H9" s="50"/>
      <c r="I9" s="50"/>
      <c r="J9" s="51"/>
    </row>
    <row r="10" spans="1:10" ht="34.049999999999997" customHeight="1" x14ac:dyDescent="0.3">
      <c r="A10" s="1" t="s">
        <v>325</v>
      </c>
      <c r="B10" s="2" t="s">
        <v>326</v>
      </c>
      <c r="C10" s="2" t="s">
        <v>327</v>
      </c>
      <c r="D10" s="2" t="s">
        <v>328</v>
      </c>
      <c r="E10" s="2" t="s">
        <v>329</v>
      </c>
      <c r="F10" s="2" t="s">
        <v>330</v>
      </c>
      <c r="G10" s="2" t="s">
        <v>331</v>
      </c>
      <c r="H10" s="2" t="s">
        <v>332</v>
      </c>
      <c r="I10" s="2" t="s">
        <v>333</v>
      </c>
      <c r="J10" s="3" t="s">
        <v>334</v>
      </c>
    </row>
    <row r="11" spans="1:10" ht="18" customHeight="1" x14ac:dyDescent="0.3">
      <c r="A11" s="4" t="s">
        <v>335</v>
      </c>
      <c r="B11" s="6" t="s">
        <v>20</v>
      </c>
      <c r="C11" s="7">
        <v>480</v>
      </c>
      <c r="D11" s="7">
        <v>210</v>
      </c>
      <c r="E11" s="7">
        <f t="shared" ref="E11:E22" si="0">C11-D11</f>
        <v>270</v>
      </c>
      <c r="F11" s="7">
        <v>95</v>
      </c>
      <c r="G11" s="7">
        <f t="shared" ref="G11:G22" si="1">E11-F11</f>
        <v>175</v>
      </c>
      <c r="H11" s="6">
        <v>0.25</v>
      </c>
      <c r="I11" s="7">
        <f t="shared" ref="I11:I22" si="2">G11*(1-H11)</f>
        <v>131.25</v>
      </c>
      <c r="J11" s="8" t="s">
        <v>336</v>
      </c>
    </row>
    <row r="12" spans="1:10" ht="18" customHeight="1" x14ac:dyDescent="0.3">
      <c r="A12" s="9" t="s">
        <v>337</v>
      </c>
      <c r="B12" s="11" t="s">
        <v>20</v>
      </c>
      <c r="C12" s="12">
        <v>520</v>
      </c>
      <c r="D12" s="12">
        <v>225</v>
      </c>
      <c r="E12" s="12">
        <f t="shared" si="0"/>
        <v>295</v>
      </c>
      <c r="F12" s="12">
        <v>98</v>
      </c>
      <c r="G12" s="12">
        <f t="shared" si="1"/>
        <v>197</v>
      </c>
      <c r="H12" s="11">
        <v>0.25</v>
      </c>
      <c r="I12" s="12">
        <f t="shared" si="2"/>
        <v>147.75</v>
      </c>
      <c r="J12" s="13" t="s">
        <v>336</v>
      </c>
    </row>
    <row r="13" spans="1:10" ht="18" customHeight="1" x14ac:dyDescent="0.3">
      <c r="A13" s="4" t="s">
        <v>338</v>
      </c>
      <c r="B13" s="6" t="s">
        <v>25</v>
      </c>
      <c r="C13" s="7">
        <v>390</v>
      </c>
      <c r="D13" s="7">
        <v>280</v>
      </c>
      <c r="E13" s="7">
        <f t="shared" si="0"/>
        <v>110</v>
      </c>
      <c r="F13" s="7">
        <v>110</v>
      </c>
      <c r="G13" s="7">
        <f t="shared" si="1"/>
        <v>0</v>
      </c>
      <c r="H13" s="6">
        <v>0.25</v>
      </c>
      <c r="I13" s="7">
        <f t="shared" si="2"/>
        <v>0</v>
      </c>
      <c r="J13" s="8" t="s">
        <v>336</v>
      </c>
    </row>
    <row r="14" spans="1:10" ht="18" customHeight="1" x14ac:dyDescent="0.3">
      <c r="A14" s="9" t="s">
        <v>339</v>
      </c>
      <c r="B14" s="11" t="s">
        <v>20</v>
      </c>
      <c r="C14" s="12">
        <v>610</v>
      </c>
      <c r="D14" s="12">
        <v>265</v>
      </c>
      <c r="E14" s="12">
        <f t="shared" si="0"/>
        <v>345</v>
      </c>
      <c r="F14" s="12">
        <v>105</v>
      </c>
      <c r="G14" s="12">
        <f t="shared" si="1"/>
        <v>240</v>
      </c>
      <c r="H14" s="11">
        <v>0.25</v>
      </c>
      <c r="I14" s="12">
        <f t="shared" si="2"/>
        <v>180</v>
      </c>
      <c r="J14" s="13" t="s">
        <v>340</v>
      </c>
    </row>
    <row r="15" spans="1:10" ht="18" customHeight="1" x14ac:dyDescent="0.3">
      <c r="A15" s="4" t="s">
        <v>341</v>
      </c>
      <c r="B15" s="6" t="s">
        <v>25</v>
      </c>
      <c r="C15" s="7">
        <v>420</v>
      </c>
      <c r="D15" s="7">
        <v>310</v>
      </c>
      <c r="E15" s="7">
        <f t="shared" si="0"/>
        <v>110</v>
      </c>
      <c r="F15" s="7">
        <v>125</v>
      </c>
      <c r="G15" s="7">
        <f t="shared" si="1"/>
        <v>-15</v>
      </c>
      <c r="H15" s="6">
        <v>0.25</v>
      </c>
      <c r="I15" s="7">
        <f t="shared" si="2"/>
        <v>-11.25</v>
      </c>
      <c r="J15" s="8" t="s">
        <v>340</v>
      </c>
    </row>
    <row r="16" spans="1:10" ht="18" customHeight="1" x14ac:dyDescent="0.3">
      <c r="A16" s="9" t="s">
        <v>342</v>
      </c>
      <c r="B16" s="11" t="s">
        <v>20</v>
      </c>
      <c r="C16" s="12">
        <v>385</v>
      </c>
      <c r="D16" s="12">
        <v>290</v>
      </c>
      <c r="E16" s="12">
        <f t="shared" si="0"/>
        <v>95</v>
      </c>
      <c r="F16" s="12">
        <v>140</v>
      </c>
      <c r="G16" s="12">
        <f t="shared" si="1"/>
        <v>-45</v>
      </c>
      <c r="H16" s="11">
        <v>0.25</v>
      </c>
      <c r="I16" s="12">
        <f t="shared" si="2"/>
        <v>-33.75</v>
      </c>
      <c r="J16" s="13" t="s">
        <v>340</v>
      </c>
    </row>
    <row r="17" spans="1:10" ht="18" customHeight="1" x14ac:dyDescent="0.3">
      <c r="A17" s="4" t="s">
        <v>343</v>
      </c>
      <c r="B17" s="6" t="s">
        <v>34</v>
      </c>
      <c r="C17" s="7">
        <v>710</v>
      </c>
      <c r="D17" s="7">
        <v>195</v>
      </c>
      <c r="E17" s="7">
        <f t="shared" si="0"/>
        <v>515</v>
      </c>
      <c r="F17" s="7">
        <v>88</v>
      </c>
      <c r="G17" s="7">
        <f t="shared" si="1"/>
        <v>427</v>
      </c>
      <c r="H17" s="6">
        <v>0.25</v>
      </c>
      <c r="I17" s="7">
        <f t="shared" si="2"/>
        <v>320.25</v>
      </c>
      <c r="J17" s="8" t="s">
        <v>344</v>
      </c>
    </row>
    <row r="18" spans="1:10" ht="18" customHeight="1" x14ac:dyDescent="0.3">
      <c r="A18" s="9" t="s">
        <v>345</v>
      </c>
      <c r="B18" s="11" t="s">
        <v>34</v>
      </c>
      <c r="C18" s="12">
        <v>780</v>
      </c>
      <c r="D18" s="12">
        <v>210</v>
      </c>
      <c r="E18" s="12">
        <f t="shared" si="0"/>
        <v>570</v>
      </c>
      <c r="F18" s="12">
        <v>92</v>
      </c>
      <c r="G18" s="12">
        <f t="shared" si="1"/>
        <v>478</v>
      </c>
      <c r="H18" s="11">
        <v>0.25</v>
      </c>
      <c r="I18" s="12">
        <f t="shared" si="2"/>
        <v>358.5</v>
      </c>
      <c r="J18" s="13" t="s">
        <v>344</v>
      </c>
    </row>
    <row r="19" spans="1:10" ht="18" customHeight="1" x14ac:dyDescent="0.3">
      <c r="A19" s="4" t="s">
        <v>346</v>
      </c>
      <c r="B19" s="6" t="s">
        <v>20</v>
      </c>
      <c r="C19" s="7">
        <v>920</v>
      </c>
      <c r="D19" s="7">
        <v>315</v>
      </c>
      <c r="E19" s="7">
        <f t="shared" si="0"/>
        <v>605</v>
      </c>
      <c r="F19" s="7">
        <v>130</v>
      </c>
      <c r="G19" s="7">
        <f t="shared" si="1"/>
        <v>475</v>
      </c>
      <c r="H19" s="6">
        <v>0.25</v>
      </c>
      <c r="I19" s="7">
        <f t="shared" si="2"/>
        <v>356.25</v>
      </c>
      <c r="J19" s="8" t="s">
        <v>344</v>
      </c>
    </row>
    <row r="20" spans="1:10" ht="18" customHeight="1" x14ac:dyDescent="0.3">
      <c r="A20" s="9" t="s">
        <v>347</v>
      </c>
      <c r="B20" s="11" t="s">
        <v>34</v>
      </c>
      <c r="C20" s="12">
        <v>850</v>
      </c>
      <c r="D20" s="12">
        <v>228</v>
      </c>
      <c r="E20" s="12">
        <f t="shared" si="0"/>
        <v>622</v>
      </c>
      <c r="F20" s="12">
        <v>95</v>
      </c>
      <c r="G20" s="12">
        <f t="shared" si="1"/>
        <v>527</v>
      </c>
      <c r="H20" s="11">
        <v>0.25</v>
      </c>
      <c r="I20" s="12">
        <f t="shared" si="2"/>
        <v>395.25</v>
      </c>
      <c r="J20" s="13" t="s">
        <v>348</v>
      </c>
    </row>
    <row r="21" spans="1:10" ht="18" customHeight="1" x14ac:dyDescent="0.3">
      <c r="A21" s="4" t="s">
        <v>349</v>
      </c>
      <c r="B21" s="6" t="s">
        <v>25</v>
      </c>
      <c r="C21" s="7">
        <v>460</v>
      </c>
      <c r="D21" s="7">
        <v>350</v>
      </c>
      <c r="E21" s="7">
        <f t="shared" si="0"/>
        <v>110</v>
      </c>
      <c r="F21" s="7">
        <v>145</v>
      </c>
      <c r="G21" s="7">
        <f t="shared" si="1"/>
        <v>-35</v>
      </c>
      <c r="H21" s="6">
        <v>0.25</v>
      </c>
      <c r="I21" s="7">
        <f t="shared" si="2"/>
        <v>-26.25</v>
      </c>
      <c r="J21" s="8" t="s">
        <v>348</v>
      </c>
    </row>
    <row r="22" spans="1:10" ht="18" customHeight="1" x14ac:dyDescent="0.3">
      <c r="A22" s="14" t="s">
        <v>350</v>
      </c>
      <c r="B22" s="16" t="s">
        <v>34</v>
      </c>
      <c r="C22" s="17">
        <v>990</v>
      </c>
      <c r="D22" s="17">
        <v>268</v>
      </c>
      <c r="E22" s="17">
        <f t="shared" si="0"/>
        <v>722</v>
      </c>
      <c r="F22" s="17">
        <v>110</v>
      </c>
      <c r="G22" s="17">
        <f t="shared" si="1"/>
        <v>612</v>
      </c>
      <c r="H22" s="16">
        <v>0.25</v>
      </c>
      <c r="I22" s="17">
        <f t="shared" si="2"/>
        <v>459</v>
      </c>
      <c r="J22" s="18" t="s">
        <v>348</v>
      </c>
    </row>
    <row r="23" spans="1:10" ht="7.95" customHeight="1" x14ac:dyDescent="0.3">
      <c r="A23" s="41"/>
      <c r="B23" s="41"/>
      <c r="C23" s="41"/>
      <c r="D23" s="41"/>
      <c r="E23" s="41"/>
      <c r="F23" s="41"/>
      <c r="G23" s="41"/>
      <c r="H23" s="41"/>
      <c r="I23" s="41"/>
      <c r="J23" s="41"/>
    </row>
    <row r="24" spans="1:10" ht="25.95" customHeight="1" x14ac:dyDescent="0.3">
      <c r="A24" s="43" t="s">
        <v>197</v>
      </c>
      <c r="B24" s="41"/>
      <c r="C24" s="41"/>
      <c r="D24" s="41"/>
      <c r="E24" s="41"/>
      <c r="F24" s="41"/>
      <c r="G24" s="41"/>
      <c r="H24" s="41"/>
      <c r="I24" s="41"/>
      <c r="J24" s="41"/>
    </row>
    <row r="25" spans="1:10" ht="30" customHeight="1" x14ac:dyDescent="0.3">
      <c r="A25" s="52" t="s">
        <v>351</v>
      </c>
      <c r="B25" s="41"/>
      <c r="C25" s="41"/>
      <c r="D25" s="41"/>
      <c r="E25" s="41"/>
      <c r="F25" s="41"/>
      <c r="G25" s="41"/>
      <c r="H25" s="41"/>
      <c r="I25" s="41"/>
      <c r="J25" s="41"/>
    </row>
    <row r="26" spans="1:10" ht="42" customHeight="1" x14ac:dyDescent="0.3">
      <c r="A26" s="46" t="s">
        <v>69</v>
      </c>
      <c r="B26" s="41"/>
      <c r="C26" s="42" t="s">
        <v>352</v>
      </c>
      <c r="D26" s="41"/>
      <c r="E26" s="41"/>
      <c r="F26" s="41"/>
      <c r="G26" s="41"/>
      <c r="H26" s="41"/>
      <c r="I26" s="41"/>
      <c r="J26" s="41"/>
    </row>
    <row r="27" spans="1:10" ht="6" customHeight="1" x14ac:dyDescent="0.3">
      <c r="A27" s="41"/>
      <c r="B27" s="41"/>
      <c r="C27" s="41"/>
      <c r="D27" s="41"/>
      <c r="E27" s="41"/>
      <c r="F27" s="41"/>
      <c r="G27" s="41"/>
      <c r="H27" s="41"/>
      <c r="I27" s="41"/>
      <c r="J27" s="41"/>
    </row>
    <row r="28" spans="1:10" ht="30" customHeight="1" x14ac:dyDescent="0.3">
      <c r="A28" s="52" t="s">
        <v>353</v>
      </c>
      <c r="B28" s="41"/>
      <c r="C28" s="41"/>
      <c r="D28" s="41"/>
      <c r="E28" s="41"/>
      <c r="F28" s="41"/>
      <c r="G28" s="41"/>
      <c r="H28" s="41"/>
      <c r="I28" s="41"/>
      <c r="J28" s="41"/>
    </row>
    <row r="29" spans="1:10" ht="42" customHeight="1" x14ac:dyDescent="0.3">
      <c r="A29" s="46" t="s">
        <v>69</v>
      </c>
      <c r="B29" s="41"/>
      <c r="C29" s="42" t="s">
        <v>354</v>
      </c>
      <c r="D29" s="41"/>
      <c r="E29" s="41"/>
      <c r="F29" s="41"/>
      <c r="G29" s="41"/>
      <c r="H29" s="41"/>
      <c r="I29" s="41"/>
      <c r="J29" s="41"/>
    </row>
    <row r="30" spans="1:10" ht="6" customHeight="1" x14ac:dyDescent="0.3">
      <c r="A30" s="41"/>
      <c r="B30" s="41"/>
      <c r="C30" s="41"/>
      <c r="D30" s="41"/>
      <c r="E30" s="41"/>
      <c r="F30" s="41"/>
      <c r="G30" s="41"/>
      <c r="H30" s="41"/>
      <c r="I30" s="41"/>
      <c r="J30" s="41"/>
    </row>
    <row r="31" spans="1:10" ht="30" customHeight="1" x14ac:dyDescent="0.3">
      <c r="A31" s="52" t="s">
        <v>355</v>
      </c>
      <c r="B31" s="41"/>
      <c r="C31" s="41"/>
      <c r="D31" s="41"/>
      <c r="E31" s="41"/>
      <c r="F31" s="41"/>
      <c r="G31" s="41"/>
      <c r="H31" s="41"/>
      <c r="I31" s="41"/>
      <c r="J31" s="41"/>
    </row>
    <row r="32" spans="1:10" ht="42" customHeight="1" x14ac:dyDescent="0.3">
      <c r="A32" s="46" t="s">
        <v>69</v>
      </c>
      <c r="B32" s="41"/>
      <c r="C32" s="42" t="s">
        <v>356</v>
      </c>
      <c r="D32" s="41"/>
      <c r="E32" s="41"/>
      <c r="F32" s="41"/>
      <c r="G32" s="41"/>
      <c r="H32" s="41"/>
      <c r="I32" s="41"/>
      <c r="J32" s="41"/>
    </row>
    <row r="33" spans="1:10" ht="6" customHeight="1" x14ac:dyDescent="0.3">
      <c r="A33" s="41"/>
      <c r="B33" s="41"/>
      <c r="C33" s="41"/>
      <c r="D33" s="41"/>
      <c r="E33" s="41"/>
      <c r="F33" s="41"/>
      <c r="G33" s="41"/>
      <c r="H33" s="41"/>
      <c r="I33" s="41"/>
      <c r="J33" s="41"/>
    </row>
    <row r="34" spans="1:10" ht="30" customHeight="1" x14ac:dyDescent="0.3">
      <c r="A34" s="52" t="s">
        <v>357</v>
      </c>
      <c r="B34" s="41"/>
      <c r="C34" s="41"/>
      <c r="D34" s="41"/>
      <c r="E34" s="41"/>
      <c r="F34" s="41"/>
      <c r="G34" s="41"/>
      <c r="H34" s="41"/>
      <c r="I34" s="41"/>
      <c r="J34" s="41"/>
    </row>
    <row r="35" spans="1:10" ht="42" customHeight="1" x14ac:dyDescent="0.3">
      <c r="A35" s="46" t="s">
        <v>69</v>
      </c>
      <c r="B35" s="41"/>
      <c r="C35" s="42" t="s">
        <v>358</v>
      </c>
      <c r="D35" s="41"/>
      <c r="E35" s="41"/>
      <c r="F35" s="41"/>
      <c r="G35" s="41"/>
      <c r="H35" s="41"/>
      <c r="I35" s="41"/>
      <c r="J35" s="41"/>
    </row>
    <row r="36" spans="1:10" ht="6" customHeight="1" x14ac:dyDescent="0.3">
      <c r="A36" s="41"/>
      <c r="B36" s="41"/>
      <c r="C36" s="41"/>
      <c r="D36" s="41"/>
      <c r="E36" s="41"/>
      <c r="F36" s="41"/>
      <c r="G36" s="41"/>
      <c r="H36" s="41"/>
      <c r="I36" s="41"/>
      <c r="J36" s="41"/>
    </row>
    <row r="37" spans="1:10" ht="30" customHeight="1" x14ac:dyDescent="0.3">
      <c r="A37" s="52" t="s">
        <v>359</v>
      </c>
      <c r="B37" s="41"/>
      <c r="C37" s="41"/>
      <c r="D37" s="41"/>
      <c r="E37" s="41"/>
      <c r="F37" s="41"/>
      <c r="G37" s="41"/>
      <c r="H37" s="41"/>
      <c r="I37" s="41"/>
      <c r="J37" s="41"/>
    </row>
    <row r="38" spans="1:10" ht="42" customHeight="1" x14ac:dyDescent="0.3">
      <c r="A38" s="46" t="s">
        <v>69</v>
      </c>
      <c r="B38" s="41"/>
      <c r="C38" s="42" t="s">
        <v>360</v>
      </c>
      <c r="D38" s="41"/>
      <c r="E38" s="41"/>
      <c r="F38" s="41"/>
      <c r="G38" s="41"/>
      <c r="H38" s="41"/>
      <c r="I38" s="41"/>
      <c r="J38" s="41"/>
    </row>
    <row r="39" spans="1:10" ht="6" customHeight="1" x14ac:dyDescent="0.3">
      <c r="A39" s="41"/>
      <c r="B39" s="41"/>
      <c r="C39" s="41"/>
      <c r="D39" s="41"/>
      <c r="E39" s="41"/>
      <c r="F39" s="41"/>
      <c r="G39" s="41"/>
      <c r="H39" s="41"/>
      <c r="I39" s="41"/>
      <c r="J39" s="41"/>
    </row>
    <row r="40" spans="1:10" ht="30" customHeight="1" x14ac:dyDescent="0.3">
      <c r="A40" s="52" t="s">
        <v>361</v>
      </c>
      <c r="B40" s="41"/>
      <c r="C40" s="41"/>
      <c r="D40" s="41"/>
      <c r="E40" s="41"/>
      <c r="F40" s="41"/>
      <c r="G40" s="41"/>
      <c r="H40" s="41"/>
      <c r="I40" s="41"/>
      <c r="J40" s="41"/>
    </row>
    <row r="41" spans="1:10" ht="42" customHeight="1" x14ac:dyDescent="0.3">
      <c r="A41" s="46" t="s">
        <v>69</v>
      </c>
      <c r="B41" s="41"/>
      <c r="C41" s="42" t="s">
        <v>362</v>
      </c>
      <c r="D41" s="41"/>
      <c r="E41" s="41"/>
      <c r="F41" s="41"/>
      <c r="G41" s="41"/>
      <c r="H41" s="41"/>
      <c r="I41" s="41"/>
      <c r="J41" s="41"/>
    </row>
    <row r="42" spans="1:10" ht="6" customHeight="1" x14ac:dyDescent="0.3">
      <c r="A42" s="41"/>
      <c r="B42" s="41"/>
      <c r="C42" s="41"/>
      <c r="D42" s="41"/>
      <c r="E42" s="41"/>
      <c r="F42" s="41"/>
      <c r="G42" s="41"/>
      <c r="H42" s="41"/>
      <c r="I42" s="41"/>
      <c r="J42" s="41"/>
    </row>
    <row r="43" spans="1:10" ht="25.95" customHeight="1" x14ac:dyDescent="0.3">
      <c r="A43" s="54" t="s">
        <v>210</v>
      </c>
      <c r="B43" s="41"/>
      <c r="C43" s="41"/>
      <c r="D43" s="41"/>
      <c r="E43" s="41"/>
      <c r="F43" s="41"/>
      <c r="G43" s="41"/>
      <c r="H43" s="41"/>
      <c r="I43" s="41"/>
      <c r="J43" s="41"/>
    </row>
    <row r="44" spans="1:10" ht="22.05" customHeight="1" x14ac:dyDescent="0.3">
      <c r="A44" s="66" t="s">
        <v>363</v>
      </c>
      <c r="B44" s="45"/>
      <c r="C44" s="45"/>
      <c r="D44" s="45"/>
      <c r="E44" s="70" t="s">
        <v>364</v>
      </c>
      <c r="F44" s="45"/>
      <c r="G44" s="45"/>
      <c r="H44" s="45"/>
      <c r="I44" s="45"/>
      <c r="J44" s="45"/>
    </row>
    <row r="45" spans="1:10" ht="22.05" customHeight="1" x14ac:dyDescent="0.3">
      <c r="A45" s="65" t="s">
        <v>365</v>
      </c>
      <c r="B45" s="45"/>
      <c r="C45" s="45"/>
      <c r="D45" s="45"/>
      <c r="E45" s="68" t="s">
        <v>366</v>
      </c>
      <c r="F45" s="45"/>
      <c r="G45" s="45"/>
      <c r="H45" s="45"/>
      <c r="I45" s="45"/>
      <c r="J45" s="45"/>
    </row>
    <row r="46" spans="1:10" ht="22.05" customHeight="1" x14ac:dyDescent="0.3">
      <c r="A46" s="71" t="s">
        <v>367</v>
      </c>
      <c r="B46" s="45"/>
      <c r="C46" s="45"/>
      <c r="D46" s="45"/>
      <c r="E46" s="67" t="s">
        <v>368</v>
      </c>
      <c r="F46" s="45"/>
      <c r="G46" s="45"/>
      <c r="H46" s="45"/>
      <c r="I46" s="45"/>
      <c r="J46" s="45"/>
    </row>
    <row r="47" spans="1:10" ht="22.05" customHeight="1" x14ac:dyDescent="0.3">
      <c r="A47" s="72" t="s">
        <v>369</v>
      </c>
      <c r="B47" s="45"/>
      <c r="C47" s="45"/>
      <c r="D47" s="45"/>
      <c r="E47" s="69" t="s">
        <v>370</v>
      </c>
      <c r="F47" s="45"/>
      <c r="G47" s="45"/>
      <c r="H47" s="45"/>
      <c r="I47" s="45"/>
      <c r="J47" s="45"/>
    </row>
  </sheetData>
  <mergeCells count="44">
    <mergeCell ref="E47:J47"/>
    <mergeCell ref="A25:J25"/>
    <mergeCell ref="A46:D46"/>
    <mergeCell ref="A35:B35"/>
    <mergeCell ref="A37:J37"/>
    <mergeCell ref="A38:B38"/>
    <mergeCell ref="A29:B29"/>
    <mergeCell ref="A27:J27"/>
    <mergeCell ref="C32:J32"/>
    <mergeCell ref="C38:J38"/>
    <mergeCell ref="A47:D47"/>
    <mergeCell ref="A42:J42"/>
    <mergeCell ref="A33:J33"/>
    <mergeCell ref="A1:J1"/>
    <mergeCell ref="A26:B26"/>
    <mergeCell ref="A36:J36"/>
    <mergeCell ref="A6:J6"/>
    <mergeCell ref="A32:B32"/>
    <mergeCell ref="A7:J7"/>
    <mergeCell ref="A3:J3"/>
    <mergeCell ref="A2:J2"/>
    <mergeCell ref="A44:D44"/>
    <mergeCell ref="C26:J26"/>
    <mergeCell ref="E46:J46"/>
    <mergeCell ref="C29:J29"/>
    <mergeCell ref="A31:J31"/>
    <mergeCell ref="A40:J40"/>
    <mergeCell ref="A41:B41"/>
    <mergeCell ref="E45:J45"/>
    <mergeCell ref="A30:J30"/>
    <mergeCell ref="A39:J39"/>
    <mergeCell ref="A34:J34"/>
    <mergeCell ref="C41:J41"/>
    <mergeCell ref="E44:J44"/>
    <mergeCell ref="A45:D45"/>
    <mergeCell ref="A5:J5"/>
    <mergeCell ref="A23:J23"/>
    <mergeCell ref="A8:J8"/>
    <mergeCell ref="A4:J4"/>
    <mergeCell ref="A43:J43"/>
    <mergeCell ref="A28:J28"/>
    <mergeCell ref="C35:J35"/>
    <mergeCell ref="A9:J9"/>
    <mergeCell ref="A24:J2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8"/>
  <sheetViews>
    <sheetView workbookViewId="0">
      <pane ySplit="10" topLeftCell="A11" activePane="bottomLeft" state="frozen"/>
      <selection pane="bottomLeft" sqref="A1:J1"/>
    </sheetView>
  </sheetViews>
  <sheetFormatPr defaultRowHeight="14.4" x14ac:dyDescent="0.3"/>
  <cols>
    <col min="1" max="1" width="6" customWidth="1"/>
    <col min="2" max="2" width="20" customWidth="1"/>
    <col min="3" max="3" width="14" customWidth="1"/>
    <col min="4" max="4" width="12" customWidth="1"/>
    <col min="5" max="6" width="14" customWidth="1"/>
    <col min="7" max="7" width="12" customWidth="1"/>
    <col min="8" max="9" width="14" customWidth="1"/>
    <col min="10" max="10" width="16" customWidth="1"/>
  </cols>
  <sheetData>
    <row r="1" spans="1:10" ht="43.95" customHeight="1" x14ac:dyDescent="0.3">
      <c r="A1" s="55" t="s">
        <v>371</v>
      </c>
      <c r="B1" s="41"/>
      <c r="C1" s="41"/>
      <c r="D1" s="41"/>
      <c r="E1" s="41"/>
      <c r="F1" s="41"/>
      <c r="G1" s="41"/>
      <c r="H1" s="41"/>
      <c r="I1" s="41"/>
      <c r="J1" s="41"/>
    </row>
    <row r="2" spans="1:10" ht="19.95" customHeight="1" x14ac:dyDescent="0.3">
      <c r="A2" s="64" t="s">
        <v>372</v>
      </c>
      <c r="B2" s="41"/>
      <c r="C2" s="41"/>
      <c r="D2" s="41"/>
      <c r="E2" s="41"/>
      <c r="F2" s="41"/>
      <c r="G2" s="41"/>
      <c r="H2" s="41"/>
      <c r="I2" s="41"/>
      <c r="J2" s="41"/>
    </row>
    <row r="3" spans="1:10" ht="25.95" customHeight="1" x14ac:dyDescent="0.3">
      <c r="A3" s="62" t="s">
        <v>2</v>
      </c>
      <c r="B3" s="41"/>
      <c r="C3" s="41"/>
      <c r="D3" s="41"/>
      <c r="E3" s="41"/>
      <c r="F3" s="41"/>
      <c r="G3" s="41"/>
      <c r="H3" s="41"/>
      <c r="I3" s="41"/>
      <c r="J3" s="41"/>
    </row>
    <row r="4" spans="1:10" ht="48" customHeight="1" x14ac:dyDescent="0.3">
      <c r="A4" s="48" t="s">
        <v>373</v>
      </c>
      <c r="B4" s="41"/>
      <c r="C4" s="41"/>
      <c r="D4" s="41"/>
      <c r="E4" s="41"/>
      <c r="F4" s="41"/>
      <c r="G4" s="41"/>
      <c r="H4" s="41"/>
      <c r="I4" s="41"/>
      <c r="J4" s="41"/>
    </row>
    <row r="5" spans="1:10" ht="7.95" customHeight="1" x14ac:dyDescent="0.3">
      <c r="A5" s="41"/>
      <c r="B5" s="41"/>
      <c r="C5" s="41"/>
      <c r="D5" s="41"/>
      <c r="E5" s="41"/>
      <c r="F5" s="41"/>
      <c r="G5" s="41"/>
      <c r="H5" s="41"/>
      <c r="I5" s="41"/>
      <c r="J5" s="41"/>
    </row>
    <row r="6" spans="1:10" ht="25.95" customHeight="1" x14ac:dyDescent="0.3">
      <c r="A6" s="56" t="s">
        <v>4</v>
      </c>
      <c r="B6" s="41"/>
      <c r="C6" s="41"/>
      <c r="D6" s="41"/>
      <c r="E6" s="41"/>
      <c r="F6" s="41"/>
      <c r="G6" s="41"/>
      <c r="H6" s="41"/>
      <c r="I6" s="41"/>
      <c r="J6" s="41"/>
    </row>
    <row r="7" spans="1:10" ht="49.95" customHeight="1" x14ac:dyDescent="0.3">
      <c r="A7" s="59" t="s">
        <v>374</v>
      </c>
      <c r="B7" s="41"/>
      <c r="C7" s="41"/>
      <c r="D7" s="41"/>
      <c r="E7" s="41"/>
      <c r="F7" s="41"/>
      <c r="G7" s="41"/>
      <c r="H7" s="41"/>
      <c r="I7" s="41"/>
      <c r="J7" s="41"/>
    </row>
    <row r="8" spans="1:10" ht="7.95" customHeight="1" x14ac:dyDescent="0.3">
      <c r="A8" s="41"/>
      <c r="B8" s="41"/>
      <c r="C8" s="41"/>
      <c r="D8" s="41"/>
      <c r="E8" s="41"/>
      <c r="F8" s="41"/>
      <c r="G8" s="41"/>
      <c r="H8" s="41"/>
      <c r="I8" s="41"/>
      <c r="J8" s="41"/>
    </row>
    <row r="9" spans="1:10" ht="25.95" customHeight="1" x14ac:dyDescent="0.3">
      <c r="A9" s="74" t="s">
        <v>375</v>
      </c>
      <c r="B9" s="50"/>
      <c r="C9" s="50"/>
      <c r="D9" s="50"/>
      <c r="E9" s="50"/>
      <c r="F9" s="50"/>
      <c r="G9" s="50"/>
      <c r="H9" s="50"/>
      <c r="I9" s="50"/>
      <c r="J9" s="51"/>
    </row>
    <row r="10" spans="1:10" ht="28.05" customHeight="1" x14ac:dyDescent="0.3">
      <c r="A10" s="19" t="s">
        <v>376</v>
      </c>
      <c r="B10" s="20" t="s">
        <v>377</v>
      </c>
      <c r="C10" s="20" t="s">
        <v>104</v>
      </c>
      <c r="D10" s="20" t="s">
        <v>378</v>
      </c>
      <c r="E10" s="20" t="s">
        <v>379</v>
      </c>
      <c r="F10" s="20" t="s">
        <v>226</v>
      </c>
      <c r="G10" s="20" t="s">
        <v>380</v>
      </c>
      <c r="H10" s="20" t="s">
        <v>101</v>
      </c>
      <c r="I10" s="20" t="s">
        <v>381</v>
      </c>
      <c r="J10" s="21" t="s">
        <v>382</v>
      </c>
    </row>
    <row r="11" spans="1:10" ht="18" customHeight="1" x14ac:dyDescent="0.3">
      <c r="A11" s="4" t="s">
        <v>383</v>
      </c>
      <c r="B11" s="22" t="s">
        <v>384</v>
      </c>
      <c r="C11" s="6" t="s">
        <v>112</v>
      </c>
      <c r="D11" s="6" t="s">
        <v>385</v>
      </c>
      <c r="E11" s="7">
        <v>850</v>
      </c>
      <c r="F11" s="5" t="s">
        <v>386</v>
      </c>
      <c r="G11" s="7">
        <v>2</v>
      </c>
      <c r="H11" s="6" t="s">
        <v>387</v>
      </c>
      <c r="I11" s="6" t="s">
        <v>388</v>
      </c>
      <c r="J11" s="23">
        <v>4.5</v>
      </c>
    </row>
    <row r="12" spans="1:10" ht="18" customHeight="1" x14ac:dyDescent="0.3">
      <c r="A12" s="9" t="s">
        <v>389</v>
      </c>
      <c r="B12" s="22" t="s">
        <v>390</v>
      </c>
      <c r="C12" s="11" t="s">
        <v>118</v>
      </c>
      <c r="D12" s="24" t="s">
        <v>391</v>
      </c>
      <c r="E12" s="12">
        <v>1200</v>
      </c>
      <c r="F12" s="10" t="s">
        <v>392</v>
      </c>
      <c r="G12" s="12">
        <v>3</v>
      </c>
      <c r="H12" s="11" t="s">
        <v>387</v>
      </c>
      <c r="I12" s="11" t="s">
        <v>393</v>
      </c>
      <c r="J12" s="25">
        <v>3.8</v>
      </c>
    </row>
    <row r="13" spans="1:10" ht="18" customHeight="1" x14ac:dyDescent="0.3">
      <c r="A13" s="4" t="s">
        <v>394</v>
      </c>
      <c r="B13" s="5" t="s">
        <v>395</v>
      </c>
      <c r="C13" s="6" t="s">
        <v>123</v>
      </c>
      <c r="D13" s="6" t="s">
        <v>396</v>
      </c>
      <c r="E13" s="7">
        <v>650</v>
      </c>
      <c r="F13" s="5" t="s">
        <v>386</v>
      </c>
      <c r="G13" s="7">
        <v>1</v>
      </c>
      <c r="H13" s="6" t="s">
        <v>387</v>
      </c>
      <c r="I13" s="6" t="s">
        <v>388</v>
      </c>
      <c r="J13" s="23">
        <v>5</v>
      </c>
    </row>
    <row r="14" spans="1:10" ht="18" customHeight="1" x14ac:dyDescent="0.3">
      <c r="A14" s="9" t="s">
        <v>397</v>
      </c>
      <c r="B14" s="10" t="s">
        <v>26</v>
      </c>
      <c r="C14" s="11" t="s">
        <v>129</v>
      </c>
      <c r="D14" s="11" t="s">
        <v>396</v>
      </c>
      <c r="E14" s="26">
        <v>-200</v>
      </c>
      <c r="F14" s="10" t="s">
        <v>392</v>
      </c>
      <c r="G14" s="12">
        <v>2</v>
      </c>
      <c r="H14" s="11" t="s">
        <v>398</v>
      </c>
      <c r="I14" s="11" t="s">
        <v>388</v>
      </c>
      <c r="J14" s="25"/>
    </row>
    <row r="15" spans="1:10" ht="18" customHeight="1" x14ac:dyDescent="0.3">
      <c r="A15" s="4" t="s">
        <v>399</v>
      </c>
      <c r="B15" s="5" t="s">
        <v>400</v>
      </c>
      <c r="C15" s="6" t="s">
        <v>151</v>
      </c>
      <c r="D15" s="6" t="s">
        <v>401</v>
      </c>
      <c r="E15" s="7">
        <v>920</v>
      </c>
      <c r="F15" s="5" t="s">
        <v>386</v>
      </c>
      <c r="G15" s="7">
        <v>2</v>
      </c>
      <c r="H15" s="6" t="s">
        <v>387</v>
      </c>
      <c r="I15" s="6" t="s">
        <v>388</v>
      </c>
      <c r="J15" s="23">
        <v>4.2</v>
      </c>
    </row>
    <row r="16" spans="1:10" ht="18" customHeight="1" x14ac:dyDescent="0.3">
      <c r="A16" s="9" t="s">
        <v>402</v>
      </c>
      <c r="B16" s="22" t="s">
        <v>403</v>
      </c>
      <c r="C16" s="11" t="s">
        <v>112</v>
      </c>
      <c r="D16" s="11" t="s">
        <v>404</v>
      </c>
      <c r="E16" s="12">
        <v>780</v>
      </c>
      <c r="F16" s="10" t="s">
        <v>405</v>
      </c>
      <c r="G16" s="12">
        <v>1</v>
      </c>
      <c r="H16" s="11" t="s">
        <v>387</v>
      </c>
      <c r="I16" s="11" t="s">
        <v>393</v>
      </c>
      <c r="J16" s="25">
        <v>4.7</v>
      </c>
    </row>
    <row r="17" spans="1:10" ht="18" customHeight="1" x14ac:dyDescent="0.3">
      <c r="A17" s="4" t="s">
        <v>406</v>
      </c>
      <c r="B17" s="5" t="s">
        <v>28</v>
      </c>
      <c r="C17" s="6" t="s">
        <v>118</v>
      </c>
      <c r="D17" s="6" t="s">
        <v>407</v>
      </c>
      <c r="E17" s="7">
        <v>1500</v>
      </c>
      <c r="F17" s="5" t="s">
        <v>236</v>
      </c>
      <c r="G17" s="7">
        <v>5</v>
      </c>
      <c r="H17" s="6" t="s">
        <v>408</v>
      </c>
      <c r="I17" s="6" t="s">
        <v>388</v>
      </c>
      <c r="J17" s="23"/>
    </row>
    <row r="18" spans="1:10" ht="18" customHeight="1" x14ac:dyDescent="0.3">
      <c r="A18" s="9" t="s">
        <v>409</v>
      </c>
      <c r="B18" s="10" t="s">
        <v>410</v>
      </c>
      <c r="C18" s="11" t="s">
        <v>123</v>
      </c>
      <c r="D18" s="11" t="s">
        <v>407</v>
      </c>
      <c r="E18" s="12">
        <v>430</v>
      </c>
      <c r="F18" s="10" t="s">
        <v>386</v>
      </c>
      <c r="G18" s="12">
        <v>1</v>
      </c>
      <c r="H18" s="11" t="s">
        <v>387</v>
      </c>
      <c r="I18" s="11" t="s">
        <v>388</v>
      </c>
      <c r="J18" s="25">
        <v>3.5</v>
      </c>
    </row>
    <row r="19" spans="1:10" ht="18" customHeight="1" x14ac:dyDescent="0.3">
      <c r="A19" s="4" t="s">
        <v>411</v>
      </c>
      <c r="B19" s="5" t="s">
        <v>412</v>
      </c>
      <c r="C19" s="6" t="s">
        <v>129</v>
      </c>
      <c r="D19" s="6" t="s">
        <v>413</v>
      </c>
      <c r="E19" s="7">
        <v>2100</v>
      </c>
      <c r="F19" s="5" t="s">
        <v>236</v>
      </c>
      <c r="G19" s="7">
        <v>4</v>
      </c>
      <c r="H19" s="6" t="s">
        <v>387</v>
      </c>
      <c r="I19" s="6" t="s">
        <v>393</v>
      </c>
      <c r="J19" s="23">
        <v>4.8</v>
      </c>
    </row>
    <row r="20" spans="1:10" ht="18" customHeight="1" x14ac:dyDescent="0.3">
      <c r="A20" s="9" t="s">
        <v>414</v>
      </c>
      <c r="B20" s="10" t="s">
        <v>415</v>
      </c>
      <c r="C20" s="11" t="s">
        <v>112</v>
      </c>
      <c r="D20" s="11" t="s">
        <v>413</v>
      </c>
      <c r="E20" s="12">
        <v>670</v>
      </c>
      <c r="F20" s="10" t="s">
        <v>392</v>
      </c>
      <c r="G20" s="12">
        <v>2</v>
      </c>
      <c r="H20" s="11" t="s">
        <v>387</v>
      </c>
      <c r="I20" s="11" t="s">
        <v>388</v>
      </c>
      <c r="J20" s="25">
        <v>4.0999999999999996</v>
      </c>
    </row>
    <row r="21" spans="1:10" ht="18" customHeight="1" x14ac:dyDescent="0.3">
      <c r="A21" s="27" t="s">
        <v>389</v>
      </c>
      <c r="B21" s="22" t="s">
        <v>390</v>
      </c>
      <c r="C21" s="6" t="s">
        <v>118</v>
      </c>
      <c r="D21" s="6" t="s">
        <v>391</v>
      </c>
      <c r="E21" s="7">
        <v>1200</v>
      </c>
      <c r="F21" s="5" t="s">
        <v>392</v>
      </c>
      <c r="G21" s="7">
        <v>3</v>
      </c>
      <c r="H21" s="6" t="s">
        <v>387</v>
      </c>
      <c r="I21" s="6" t="s">
        <v>393</v>
      </c>
      <c r="J21" s="23">
        <v>3.8</v>
      </c>
    </row>
    <row r="22" spans="1:10" ht="18" customHeight="1" x14ac:dyDescent="0.3">
      <c r="A22" s="9" t="s">
        <v>416</v>
      </c>
      <c r="B22" s="10" t="s">
        <v>44</v>
      </c>
      <c r="C22" s="11" t="s">
        <v>151</v>
      </c>
      <c r="D22" s="11" t="s">
        <v>417</v>
      </c>
      <c r="E22" s="12">
        <v>890</v>
      </c>
      <c r="F22" s="10" t="s">
        <v>386</v>
      </c>
      <c r="G22" s="12">
        <v>2</v>
      </c>
      <c r="H22" s="11" t="s">
        <v>387</v>
      </c>
      <c r="I22" s="11" t="s">
        <v>388</v>
      </c>
      <c r="J22" s="25">
        <v>4.4000000000000004</v>
      </c>
    </row>
    <row r="23" spans="1:10" ht="18" customHeight="1" x14ac:dyDescent="0.3">
      <c r="A23" s="4" t="s">
        <v>418</v>
      </c>
      <c r="B23" s="5" t="s">
        <v>46</v>
      </c>
      <c r="C23" s="6" t="s">
        <v>140</v>
      </c>
      <c r="D23" s="6" t="s">
        <v>417</v>
      </c>
      <c r="E23" s="26"/>
      <c r="F23" s="5" t="s">
        <v>405</v>
      </c>
      <c r="G23" s="7">
        <v>1</v>
      </c>
      <c r="H23" s="6" t="s">
        <v>387</v>
      </c>
      <c r="I23" s="6" t="s">
        <v>393</v>
      </c>
      <c r="J23" s="23">
        <v>4.5999999999999996</v>
      </c>
    </row>
    <row r="24" spans="1:10" ht="18" customHeight="1" x14ac:dyDescent="0.3">
      <c r="A24" s="9" t="s">
        <v>419</v>
      </c>
      <c r="B24" s="10" t="s">
        <v>48</v>
      </c>
      <c r="C24" s="11" t="s">
        <v>112</v>
      </c>
      <c r="D24" s="11" t="s">
        <v>420</v>
      </c>
      <c r="E24" s="12">
        <v>1100</v>
      </c>
      <c r="F24" s="10" t="s">
        <v>386</v>
      </c>
      <c r="G24" s="12">
        <v>3</v>
      </c>
      <c r="H24" s="11" t="s">
        <v>387</v>
      </c>
      <c r="I24" s="11" t="s">
        <v>388</v>
      </c>
      <c r="J24" s="25">
        <v>4.3</v>
      </c>
    </row>
    <row r="25" spans="1:10" ht="18" customHeight="1" x14ac:dyDescent="0.3">
      <c r="A25" s="4" t="s">
        <v>421</v>
      </c>
      <c r="B25" s="5" t="s">
        <v>54</v>
      </c>
      <c r="C25" s="6" t="s">
        <v>118</v>
      </c>
      <c r="D25" s="24" t="s">
        <v>422</v>
      </c>
      <c r="E25" s="7">
        <v>750</v>
      </c>
      <c r="F25" s="5" t="s">
        <v>392</v>
      </c>
      <c r="G25" s="7">
        <v>2</v>
      </c>
      <c r="H25" s="6" t="s">
        <v>387</v>
      </c>
      <c r="I25" s="6" t="s">
        <v>393</v>
      </c>
      <c r="J25" s="23"/>
    </row>
    <row r="26" spans="1:10" ht="18" customHeight="1" x14ac:dyDescent="0.3">
      <c r="A26" s="9" t="s">
        <v>423</v>
      </c>
      <c r="B26" s="10" t="s">
        <v>56</v>
      </c>
      <c r="C26" s="11" t="s">
        <v>129</v>
      </c>
      <c r="D26" s="11" t="s">
        <v>424</v>
      </c>
      <c r="E26" s="12">
        <v>1800</v>
      </c>
      <c r="F26" s="10" t="s">
        <v>236</v>
      </c>
      <c r="G26" s="12">
        <v>6</v>
      </c>
      <c r="H26" s="11" t="s">
        <v>408</v>
      </c>
      <c r="I26" s="11" t="s">
        <v>388</v>
      </c>
      <c r="J26" s="25"/>
    </row>
    <row r="27" spans="1:10" ht="18" customHeight="1" x14ac:dyDescent="0.3">
      <c r="A27" s="4" t="s">
        <v>425</v>
      </c>
      <c r="B27" s="22" t="s">
        <v>426</v>
      </c>
      <c r="C27" s="6" t="s">
        <v>151</v>
      </c>
      <c r="D27" s="6" t="s">
        <v>424</v>
      </c>
      <c r="E27" s="7">
        <v>560</v>
      </c>
      <c r="F27" s="5" t="s">
        <v>386</v>
      </c>
      <c r="G27" s="7">
        <v>1</v>
      </c>
      <c r="H27" s="6" t="s">
        <v>387</v>
      </c>
      <c r="I27" s="6" t="s">
        <v>388</v>
      </c>
      <c r="J27" s="23">
        <v>3.9</v>
      </c>
    </row>
    <row r="28" spans="1:10" ht="18" customHeight="1" x14ac:dyDescent="0.3">
      <c r="A28" s="9" t="s">
        <v>427</v>
      </c>
      <c r="B28" s="10" t="s">
        <v>60</v>
      </c>
      <c r="C28" s="11" t="s">
        <v>123</v>
      </c>
      <c r="D28" s="11" t="s">
        <v>428</v>
      </c>
      <c r="E28" s="12">
        <v>940</v>
      </c>
      <c r="F28" s="10" t="s">
        <v>405</v>
      </c>
      <c r="G28" s="12">
        <v>2</v>
      </c>
      <c r="H28" s="11" t="s">
        <v>387</v>
      </c>
      <c r="I28" s="11" t="s">
        <v>393</v>
      </c>
      <c r="J28" s="25">
        <v>4.5</v>
      </c>
    </row>
    <row r="29" spans="1:10" ht="18" customHeight="1" x14ac:dyDescent="0.3">
      <c r="A29" s="4" t="s">
        <v>429</v>
      </c>
      <c r="B29" s="5" t="s">
        <v>62</v>
      </c>
      <c r="C29" s="6" t="s">
        <v>112</v>
      </c>
      <c r="D29" s="6" t="s">
        <v>428</v>
      </c>
      <c r="E29" s="7">
        <v>12000</v>
      </c>
      <c r="F29" s="5" t="s">
        <v>236</v>
      </c>
      <c r="G29" s="7">
        <v>7</v>
      </c>
      <c r="H29" s="6" t="s">
        <v>387</v>
      </c>
      <c r="I29" s="6" t="s">
        <v>388</v>
      </c>
      <c r="J29" s="23">
        <v>4.9000000000000004</v>
      </c>
    </row>
    <row r="30" spans="1:10" ht="18" customHeight="1" x14ac:dyDescent="0.3">
      <c r="A30" s="14" t="s">
        <v>430</v>
      </c>
      <c r="B30" s="15" t="s">
        <v>194</v>
      </c>
      <c r="C30" s="16" t="s">
        <v>140</v>
      </c>
      <c r="D30" s="16" t="s">
        <v>431</v>
      </c>
      <c r="E30" s="17">
        <v>830</v>
      </c>
      <c r="F30" s="15" t="s">
        <v>386</v>
      </c>
      <c r="G30" s="17">
        <v>2</v>
      </c>
      <c r="H30" s="16" t="s">
        <v>387</v>
      </c>
      <c r="I30" s="16" t="s">
        <v>388</v>
      </c>
      <c r="J30" s="28">
        <v>4.2</v>
      </c>
    </row>
    <row r="31" spans="1:10" ht="7.95" customHeight="1" x14ac:dyDescent="0.3">
      <c r="A31" s="41"/>
      <c r="B31" s="41"/>
      <c r="C31" s="41"/>
      <c r="D31" s="41"/>
      <c r="E31" s="41"/>
      <c r="F31" s="41"/>
      <c r="G31" s="41"/>
      <c r="H31" s="41"/>
      <c r="I31" s="41"/>
      <c r="J31" s="41"/>
    </row>
    <row r="32" spans="1:10" ht="25.95" customHeight="1" x14ac:dyDescent="0.3">
      <c r="A32" s="73" t="s">
        <v>432</v>
      </c>
      <c r="B32" s="41"/>
      <c r="C32" s="41"/>
      <c r="D32" s="41"/>
      <c r="E32" s="41"/>
      <c r="F32" s="41"/>
      <c r="G32" s="41"/>
      <c r="H32" s="41"/>
      <c r="I32" s="41"/>
      <c r="J32" s="41"/>
    </row>
    <row r="33" spans="1:10" ht="24" customHeight="1" x14ac:dyDescent="0.3">
      <c r="A33" s="29" t="s">
        <v>433</v>
      </c>
      <c r="B33" s="30" t="s">
        <v>434</v>
      </c>
      <c r="C33" s="30" t="s">
        <v>435</v>
      </c>
      <c r="D33" s="30" t="s">
        <v>436</v>
      </c>
      <c r="E33" s="30" t="s">
        <v>437</v>
      </c>
      <c r="F33" s="31" t="s">
        <v>438</v>
      </c>
    </row>
    <row r="34" spans="1:10" ht="28.05" customHeight="1" x14ac:dyDescent="0.3">
      <c r="A34" s="32">
        <v>1</v>
      </c>
      <c r="B34" s="33" t="s">
        <v>439</v>
      </c>
      <c r="C34" s="33" t="s">
        <v>377</v>
      </c>
      <c r="D34" s="33" t="s">
        <v>440</v>
      </c>
      <c r="E34" s="33" t="s">
        <v>441</v>
      </c>
      <c r="F34" s="34"/>
    </row>
    <row r="35" spans="1:10" ht="28.05" customHeight="1" x14ac:dyDescent="0.3">
      <c r="A35" s="35">
        <v>2</v>
      </c>
      <c r="B35" s="36" t="s">
        <v>442</v>
      </c>
      <c r="C35" s="36" t="s">
        <v>377</v>
      </c>
      <c r="D35" s="36" t="s">
        <v>443</v>
      </c>
      <c r="E35" s="36" t="s">
        <v>444</v>
      </c>
      <c r="F35" s="37"/>
    </row>
    <row r="36" spans="1:10" ht="28.05" customHeight="1" x14ac:dyDescent="0.3">
      <c r="A36" s="32">
        <v>3</v>
      </c>
      <c r="B36" s="33" t="s">
        <v>445</v>
      </c>
      <c r="C36" s="33" t="s">
        <v>377</v>
      </c>
      <c r="D36" s="33" t="s">
        <v>446</v>
      </c>
      <c r="E36" s="33" t="s">
        <v>447</v>
      </c>
      <c r="F36" s="34"/>
    </row>
    <row r="37" spans="1:10" ht="28.05" customHeight="1" x14ac:dyDescent="0.3">
      <c r="A37" s="35">
        <v>4</v>
      </c>
      <c r="B37" s="36" t="s">
        <v>442</v>
      </c>
      <c r="C37" s="36" t="s">
        <v>378</v>
      </c>
      <c r="D37" s="36" t="s">
        <v>448</v>
      </c>
      <c r="E37" s="36" t="s">
        <v>449</v>
      </c>
      <c r="F37" s="37"/>
    </row>
    <row r="38" spans="1:10" ht="28.05" customHeight="1" x14ac:dyDescent="0.3">
      <c r="A38" s="32">
        <v>5</v>
      </c>
      <c r="B38" s="33" t="s">
        <v>450</v>
      </c>
      <c r="C38" s="33" t="s">
        <v>451</v>
      </c>
      <c r="D38" s="33" t="s">
        <v>452</v>
      </c>
      <c r="E38" s="33" t="s">
        <v>453</v>
      </c>
      <c r="F38" s="34" t="s">
        <v>454</v>
      </c>
    </row>
    <row r="39" spans="1:10" ht="28.05" customHeight="1" x14ac:dyDescent="0.3">
      <c r="A39" s="35">
        <v>6</v>
      </c>
      <c r="B39" s="36" t="s">
        <v>455</v>
      </c>
      <c r="C39" s="36" t="s">
        <v>376</v>
      </c>
      <c r="D39" s="36" t="s">
        <v>456</v>
      </c>
      <c r="E39" s="36" t="s">
        <v>457</v>
      </c>
      <c r="F39" s="37" t="s">
        <v>458</v>
      </c>
    </row>
    <row r="40" spans="1:10" ht="28.05" customHeight="1" x14ac:dyDescent="0.3">
      <c r="A40" s="32">
        <v>7</v>
      </c>
      <c r="B40" s="33" t="s">
        <v>459</v>
      </c>
      <c r="C40" s="33" t="s">
        <v>451</v>
      </c>
      <c r="D40" s="33" t="s">
        <v>460</v>
      </c>
      <c r="E40" s="33" t="s">
        <v>461</v>
      </c>
      <c r="F40" s="34"/>
    </row>
    <row r="41" spans="1:10" ht="28.05" customHeight="1" x14ac:dyDescent="0.3">
      <c r="A41" s="35">
        <v>8</v>
      </c>
      <c r="B41" s="36" t="s">
        <v>462</v>
      </c>
      <c r="C41" s="36" t="s">
        <v>378</v>
      </c>
      <c r="D41" s="36" t="s">
        <v>448</v>
      </c>
      <c r="E41" s="36" t="s">
        <v>463</v>
      </c>
      <c r="F41" s="37"/>
    </row>
    <row r="42" spans="1:10" ht="28.05" customHeight="1" x14ac:dyDescent="0.3">
      <c r="A42" s="32">
        <v>9</v>
      </c>
      <c r="B42" s="33" t="s">
        <v>464</v>
      </c>
      <c r="C42" s="33" t="s">
        <v>451</v>
      </c>
      <c r="D42" s="33" t="s">
        <v>465</v>
      </c>
      <c r="E42" s="33" t="s">
        <v>466</v>
      </c>
      <c r="F42" s="34" t="s">
        <v>467</v>
      </c>
    </row>
    <row r="43" spans="1:10" ht="28.05" customHeight="1" x14ac:dyDescent="0.3">
      <c r="A43" s="38">
        <v>10</v>
      </c>
      <c r="B43" s="39" t="s">
        <v>468</v>
      </c>
      <c r="C43" s="39" t="s">
        <v>382</v>
      </c>
      <c r="D43" s="39" t="s">
        <v>469</v>
      </c>
      <c r="E43" s="39" t="s">
        <v>470</v>
      </c>
      <c r="F43" s="40"/>
    </row>
    <row r="44" spans="1:10" ht="7.95" customHeight="1" x14ac:dyDescent="0.3">
      <c r="A44" s="41"/>
      <c r="B44" s="41"/>
      <c r="C44" s="41"/>
      <c r="D44" s="41"/>
      <c r="E44" s="41"/>
      <c r="F44" s="41"/>
      <c r="G44" s="41"/>
      <c r="H44" s="41"/>
      <c r="I44" s="41"/>
      <c r="J44" s="41"/>
    </row>
    <row r="45" spans="1:10" ht="25.95" customHeight="1" x14ac:dyDescent="0.3">
      <c r="A45" s="43" t="s">
        <v>197</v>
      </c>
      <c r="B45" s="41"/>
      <c r="C45" s="41"/>
      <c r="D45" s="41"/>
      <c r="E45" s="41"/>
      <c r="F45" s="41"/>
      <c r="G45" s="41"/>
      <c r="H45" s="41"/>
      <c r="I45" s="41"/>
      <c r="J45" s="41"/>
    </row>
    <row r="46" spans="1:10" ht="30" customHeight="1" x14ac:dyDescent="0.3">
      <c r="A46" s="52" t="s">
        <v>471</v>
      </c>
      <c r="B46" s="41"/>
      <c r="C46" s="41"/>
      <c r="D46" s="41"/>
      <c r="E46" s="41"/>
      <c r="F46" s="41"/>
      <c r="G46" s="41"/>
      <c r="H46" s="41"/>
      <c r="I46" s="41"/>
      <c r="J46" s="41"/>
    </row>
    <row r="47" spans="1:10" ht="42" customHeight="1" x14ac:dyDescent="0.3">
      <c r="A47" s="46" t="s">
        <v>69</v>
      </c>
      <c r="B47" s="41"/>
      <c r="C47" s="42" t="s">
        <v>472</v>
      </c>
      <c r="D47" s="41"/>
      <c r="E47" s="41"/>
      <c r="F47" s="41"/>
      <c r="G47" s="41"/>
      <c r="H47" s="41"/>
      <c r="I47" s="41"/>
      <c r="J47" s="41"/>
    </row>
    <row r="48" spans="1:10" ht="6" customHeight="1" x14ac:dyDescent="0.3">
      <c r="A48" s="41"/>
      <c r="B48" s="41"/>
      <c r="C48" s="41"/>
      <c r="D48" s="41"/>
      <c r="E48" s="41"/>
      <c r="F48" s="41"/>
      <c r="G48" s="41"/>
      <c r="H48" s="41"/>
      <c r="I48" s="41"/>
      <c r="J48" s="41"/>
    </row>
    <row r="49" spans="1:10" ht="30" customHeight="1" x14ac:dyDescent="0.3">
      <c r="A49" s="52" t="s">
        <v>473</v>
      </c>
      <c r="B49" s="41"/>
      <c r="C49" s="41"/>
      <c r="D49" s="41"/>
      <c r="E49" s="41"/>
      <c r="F49" s="41"/>
      <c r="G49" s="41"/>
      <c r="H49" s="41"/>
      <c r="I49" s="41"/>
      <c r="J49" s="41"/>
    </row>
    <row r="50" spans="1:10" ht="42" customHeight="1" x14ac:dyDescent="0.3">
      <c r="A50" s="46" t="s">
        <v>69</v>
      </c>
      <c r="B50" s="41"/>
      <c r="C50" s="42" t="s">
        <v>474</v>
      </c>
      <c r="D50" s="41"/>
      <c r="E50" s="41"/>
      <c r="F50" s="41"/>
      <c r="G50" s="41"/>
      <c r="H50" s="41"/>
      <c r="I50" s="41"/>
      <c r="J50" s="41"/>
    </row>
    <row r="51" spans="1:10" ht="6" customHeight="1" x14ac:dyDescent="0.3">
      <c r="A51" s="41"/>
      <c r="B51" s="41"/>
      <c r="C51" s="41"/>
      <c r="D51" s="41"/>
      <c r="E51" s="41"/>
      <c r="F51" s="41"/>
      <c r="G51" s="41"/>
      <c r="H51" s="41"/>
      <c r="I51" s="41"/>
      <c r="J51" s="41"/>
    </row>
    <row r="52" spans="1:10" ht="30" customHeight="1" x14ac:dyDescent="0.3">
      <c r="A52" s="52" t="s">
        <v>475</v>
      </c>
      <c r="B52" s="41"/>
      <c r="C52" s="41"/>
      <c r="D52" s="41"/>
      <c r="E52" s="41"/>
      <c r="F52" s="41"/>
      <c r="G52" s="41"/>
      <c r="H52" s="41"/>
      <c r="I52" s="41"/>
      <c r="J52" s="41"/>
    </row>
    <row r="53" spans="1:10" ht="42" customHeight="1" x14ac:dyDescent="0.3">
      <c r="A53" s="46" t="s">
        <v>69</v>
      </c>
      <c r="B53" s="41"/>
      <c r="C53" s="42" t="s">
        <v>476</v>
      </c>
      <c r="D53" s="41"/>
      <c r="E53" s="41"/>
      <c r="F53" s="41"/>
      <c r="G53" s="41"/>
      <c r="H53" s="41"/>
      <c r="I53" s="41"/>
      <c r="J53" s="41"/>
    </row>
    <row r="54" spans="1:10" ht="6" customHeight="1" x14ac:dyDescent="0.3">
      <c r="A54" s="41"/>
      <c r="B54" s="41"/>
      <c r="C54" s="41"/>
      <c r="D54" s="41"/>
      <c r="E54" s="41"/>
      <c r="F54" s="41"/>
      <c r="G54" s="41"/>
      <c r="H54" s="41"/>
      <c r="I54" s="41"/>
      <c r="J54" s="41"/>
    </row>
    <row r="55" spans="1:10" ht="30" customHeight="1" x14ac:dyDescent="0.3">
      <c r="A55" s="52" t="s">
        <v>477</v>
      </c>
      <c r="B55" s="41"/>
      <c r="C55" s="41"/>
      <c r="D55" s="41"/>
      <c r="E55" s="41"/>
      <c r="F55" s="41"/>
      <c r="G55" s="41"/>
      <c r="H55" s="41"/>
      <c r="I55" s="41"/>
      <c r="J55" s="41"/>
    </row>
    <row r="56" spans="1:10" ht="42" customHeight="1" x14ac:dyDescent="0.3">
      <c r="A56" s="46" t="s">
        <v>69</v>
      </c>
      <c r="B56" s="41"/>
      <c r="C56" s="42" t="s">
        <v>478</v>
      </c>
      <c r="D56" s="41"/>
      <c r="E56" s="41"/>
      <c r="F56" s="41"/>
      <c r="G56" s="41"/>
      <c r="H56" s="41"/>
      <c r="I56" s="41"/>
      <c r="J56" s="41"/>
    </row>
    <row r="57" spans="1:10" ht="6" customHeight="1" x14ac:dyDescent="0.3">
      <c r="A57" s="41"/>
      <c r="B57" s="41"/>
      <c r="C57" s="41"/>
      <c r="D57" s="41"/>
      <c r="E57" s="41"/>
      <c r="F57" s="41"/>
      <c r="G57" s="41"/>
      <c r="H57" s="41"/>
      <c r="I57" s="41"/>
      <c r="J57" s="41"/>
    </row>
    <row r="58" spans="1:10" ht="30" customHeight="1" x14ac:dyDescent="0.3">
      <c r="A58" s="52" t="s">
        <v>479</v>
      </c>
      <c r="B58" s="41"/>
      <c r="C58" s="41"/>
      <c r="D58" s="41"/>
      <c r="E58" s="41"/>
      <c r="F58" s="41"/>
      <c r="G58" s="41"/>
      <c r="H58" s="41"/>
      <c r="I58" s="41"/>
      <c r="J58" s="41"/>
    </row>
    <row r="59" spans="1:10" ht="42" customHeight="1" x14ac:dyDescent="0.3">
      <c r="A59" s="46" t="s">
        <v>69</v>
      </c>
      <c r="B59" s="41"/>
      <c r="C59" s="42" t="s">
        <v>480</v>
      </c>
      <c r="D59" s="41"/>
      <c r="E59" s="41"/>
      <c r="F59" s="41"/>
      <c r="G59" s="41"/>
      <c r="H59" s="41"/>
      <c r="I59" s="41"/>
      <c r="J59" s="41"/>
    </row>
    <row r="60" spans="1:10" ht="6" customHeight="1" x14ac:dyDescent="0.3">
      <c r="A60" s="41"/>
      <c r="B60" s="41"/>
      <c r="C60" s="41"/>
      <c r="D60" s="41"/>
      <c r="E60" s="41"/>
      <c r="F60" s="41"/>
      <c r="G60" s="41"/>
      <c r="H60" s="41"/>
      <c r="I60" s="41"/>
      <c r="J60" s="41"/>
    </row>
    <row r="61" spans="1:10" ht="30" customHeight="1" x14ac:dyDescent="0.3">
      <c r="A61" s="52" t="s">
        <v>481</v>
      </c>
      <c r="B61" s="41"/>
      <c r="C61" s="41"/>
      <c r="D61" s="41"/>
      <c r="E61" s="41"/>
      <c r="F61" s="41"/>
      <c r="G61" s="41"/>
      <c r="H61" s="41"/>
      <c r="I61" s="41"/>
      <c r="J61" s="41"/>
    </row>
    <row r="62" spans="1:10" ht="42" customHeight="1" x14ac:dyDescent="0.3">
      <c r="A62" s="46" t="s">
        <v>69</v>
      </c>
      <c r="B62" s="41"/>
      <c r="C62" s="42" t="s">
        <v>482</v>
      </c>
      <c r="D62" s="41"/>
      <c r="E62" s="41"/>
      <c r="F62" s="41"/>
      <c r="G62" s="41"/>
      <c r="H62" s="41"/>
      <c r="I62" s="41"/>
      <c r="J62" s="41"/>
    </row>
    <row r="63" spans="1:10" ht="6" customHeight="1" x14ac:dyDescent="0.3">
      <c r="A63" s="41"/>
      <c r="B63" s="41"/>
      <c r="C63" s="41"/>
      <c r="D63" s="41"/>
      <c r="E63" s="41"/>
      <c r="F63" s="41"/>
      <c r="G63" s="41"/>
      <c r="H63" s="41"/>
      <c r="I63" s="41"/>
      <c r="J63" s="41"/>
    </row>
    <row r="64" spans="1:10" ht="25.95" customHeight="1" x14ac:dyDescent="0.3">
      <c r="A64" s="54" t="s">
        <v>483</v>
      </c>
      <c r="B64" s="41"/>
      <c r="C64" s="41"/>
      <c r="D64" s="41"/>
      <c r="E64" s="41"/>
      <c r="F64" s="41"/>
      <c r="G64" s="41"/>
      <c r="H64" s="41"/>
      <c r="I64" s="41"/>
      <c r="J64" s="41"/>
    </row>
    <row r="65" spans="1:10" ht="22.05" customHeight="1" x14ac:dyDescent="0.3">
      <c r="A65" s="66" t="s">
        <v>484</v>
      </c>
      <c r="B65" s="45"/>
      <c r="C65" s="45"/>
      <c r="D65" s="45"/>
      <c r="E65" s="70" t="s">
        <v>485</v>
      </c>
      <c r="F65" s="45"/>
      <c r="G65" s="45"/>
      <c r="H65" s="45"/>
      <c r="I65" s="45"/>
      <c r="J65" s="45"/>
    </row>
    <row r="66" spans="1:10" ht="22.05" customHeight="1" x14ac:dyDescent="0.3">
      <c r="A66" s="65" t="s">
        <v>486</v>
      </c>
      <c r="B66" s="45"/>
      <c r="C66" s="45"/>
      <c r="D66" s="45"/>
      <c r="E66" s="68" t="s">
        <v>487</v>
      </c>
      <c r="F66" s="45"/>
      <c r="G66" s="45"/>
      <c r="H66" s="45"/>
      <c r="I66" s="45"/>
      <c r="J66" s="45"/>
    </row>
    <row r="67" spans="1:10" ht="22.05" customHeight="1" x14ac:dyDescent="0.3">
      <c r="A67" s="71" t="s">
        <v>488</v>
      </c>
      <c r="B67" s="45"/>
      <c r="C67" s="45"/>
      <c r="D67" s="45"/>
      <c r="E67" s="67" t="s">
        <v>489</v>
      </c>
      <c r="F67" s="45"/>
      <c r="G67" s="45"/>
      <c r="H67" s="45"/>
      <c r="I67" s="45"/>
      <c r="J67" s="45"/>
    </row>
    <row r="68" spans="1:10" ht="22.05" customHeight="1" x14ac:dyDescent="0.3">
      <c r="A68" s="72" t="s">
        <v>490</v>
      </c>
      <c r="B68" s="45"/>
      <c r="C68" s="45"/>
      <c r="D68" s="45"/>
      <c r="E68" s="69" t="s">
        <v>491</v>
      </c>
      <c r="F68" s="45"/>
      <c r="G68" s="45"/>
      <c r="H68" s="45"/>
      <c r="I68" s="45"/>
      <c r="J68" s="45"/>
    </row>
  </sheetData>
  <mergeCells count="46">
    <mergeCell ref="E68:J68"/>
    <mergeCell ref="A62:B62"/>
    <mergeCell ref="A46:J46"/>
    <mergeCell ref="E67:J67"/>
    <mergeCell ref="A3:J3"/>
    <mergeCell ref="A55:J55"/>
    <mergeCell ref="A57:J57"/>
    <mergeCell ref="C53:J53"/>
    <mergeCell ref="E66:J66"/>
    <mergeCell ref="A47:B47"/>
    <mergeCell ref="A7:J7"/>
    <mergeCell ref="A65:D65"/>
    <mergeCell ref="A54:J54"/>
    <mergeCell ref="A53:B53"/>
    <mergeCell ref="A66:D66"/>
    <mergeCell ref="A1:J1"/>
    <mergeCell ref="A45:J45"/>
    <mergeCell ref="C56:J56"/>
    <mergeCell ref="C59:J59"/>
    <mergeCell ref="A6:J6"/>
    <mergeCell ref="A2:J2"/>
    <mergeCell ref="A4:J4"/>
    <mergeCell ref="E65:J65"/>
    <mergeCell ref="A52:J52"/>
    <mergeCell ref="A68:D68"/>
    <mergeCell ref="A63:J63"/>
    <mergeCell ref="A44:J44"/>
    <mergeCell ref="A67:D67"/>
    <mergeCell ref="A31:J31"/>
    <mergeCell ref="A58:J58"/>
    <mergeCell ref="A9:J9"/>
    <mergeCell ref="C47:J47"/>
    <mergeCell ref="C50:J50"/>
    <mergeCell ref="A48:J48"/>
    <mergeCell ref="A56:B56"/>
    <mergeCell ref="A64:J64"/>
    <mergeCell ref="A60:J60"/>
    <mergeCell ref="A5:J5"/>
    <mergeCell ref="A32:J32"/>
    <mergeCell ref="A8:J8"/>
    <mergeCell ref="A59:B59"/>
    <mergeCell ref="C62:J62"/>
    <mergeCell ref="A50:B50"/>
    <mergeCell ref="A49:J49"/>
    <mergeCell ref="A51:J51"/>
    <mergeCell ref="A61:J6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CS1 - Sales Analysis</vt:lpstr>
      <vt:lpstr>CS2 - HR &amp; Payroll</vt:lpstr>
      <vt:lpstr>CS3 - Inventory Mgmt</vt:lpstr>
      <vt:lpstr>CS4 - Financial Analysis</vt:lpstr>
      <vt:lpstr>CS5 - Data 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Sami Siddiqui</cp:lastModifiedBy>
  <dcterms:created xsi:type="dcterms:W3CDTF">2026-03-21T10:51:22Z</dcterms:created>
  <dcterms:modified xsi:type="dcterms:W3CDTF">2026-06-23T16:11:04Z</dcterms:modified>
</cp:coreProperties>
</file>