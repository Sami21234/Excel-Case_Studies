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c66bf640a71f3/Desktop/Excel_Case_Studies/CASE STUDY 1 — SALES PERFORMANCE ANALYSIS/"/>
    </mc:Choice>
  </mc:AlternateContent>
  <xr:revisionPtr revIDLastSave="0" documentId="8_{DB48591A-3124-4A43-A7E2-EB893121B1D1}" xr6:coauthVersionLast="47" xr6:coauthVersionMax="47" xr10:uidLastSave="{00000000-0000-0000-0000-000000000000}"/>
  <bookViews>
    <workbookView xWindow="-108" yWindow="-108" windowWidth="23256" windowHeight="12456" xr2:uid="{219C1CDB-A1BB-405B-A068-98D798D143E6}"/>
  </bookViews>
  <sheets>
    <sheet name="case_study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K58" i="1"/>
  <c r="K57" i="1"/>
  <c r="K35" i="1"/>
  <c r="K36" i="1"/>
  <c r="K37" i="1"/>
  <c r="O37" i="1" s="1"/>
  <c r="K38" i="1"/>
  <c r="K39" i="1"/>
  <c r="K40" i="1"/>
  <c r="K41" i="1"/>
  <c r="K42" i="1"/>
  <c r="O42" i="1" s="1"/>
  <c r="K43" i="1"/>
  <c r="O43" i="1" s="1"/>
  <c r="K44" i="1"/>
  <c r="K45" i="1"/>
  <c r="K46" i="1"/>
  <c r="K47" i="1"/>
  <c r="K48" i="1"/>
  <c r="K49" i="1"/>
  <c r="K50" i="1"/>
  <c r="O50" i="1" s="1"/>
  <c r="K51" i="1"/>
  <c r="K52" i="1"/>
  <c r="O52" i="1" s="1"/>
  <c r="K53" i="1"/>
  <c r="K54" i="1"/>
  <c r="O40" i="1" l="1"/>
  <c r="O41" i="1"/>
  <c r="O39" i="1"/>
  <c r="O54" i="1"/>
  <c r="O38" i="1"/>
  <c r="O46" i="1"/>
  <c r="O53" i="1"/>
  <c r="O51" i="1"/>
  <c r="O44" i="1"/>
  <c r="O49" i="1"/>
  <c r="O48" i="1"/>
  <c r="N50" i="1" a="1"/>
  <c r="N50" i="1" s="1"/>
  <c r="O47" i="1"/>
  <c r="N41" i="1" a="1"/>
  <c r="N41" i="1" s="1"/>
  <c r="N54" i="1" a="1"/>
  <c r="N54" i="1" s="1"/>
  <c r="M50" i="1"/>
  <c r="N36" i="1" a="1"/>
  <c r="N36" i="1" s="1"/>
  <c r="O45" i="1"/>
  <c r="M41" i="1"/>
  <c r="M42" i="1"/>
  <c r="O36" i="1"/>
  <c r="O35" i="1"/>
  <c r="N42" i="1" a="1"/>
  <c r="N42" i="1" s="1"/>
  <c r="N48" i="1" a="1"/>
  <c r="N48" i="1" s="1"/>
  <c r="N40" i="1" a="1"/>
  <c r="N40" i="1" s="1"/>
  <c r="N39" i="1" a="1"/>
  <c r="N39" i="1" s="1"/>
  <c r="N43" i="1" a="1"/>
  <c r="N43" i="1" s="1"/>
  <c r="N49" i="1" a="1"/>
  <c r="N49" i="1" s="1"/>
  <c r="N47" i="1" a="1"/>
  <c r="N47" i="1" s="1"/>
  <c r="N51" i="1" a="1"/>
  <c r="N51" i="1" s="1"/>
  <c r="N38" i="1" a="1"/>
  <c r="N38" i="1" s="1"/>
  <c r="N46" i="1" a="1"/>
  <c r="N46" i="1" s="1"/>
  <c r="M39" i="1"/>
  <c r="N37" i="1" a="1"/>
  <c r="N37" i="1" s="1"/>
  <c r="N45" i="1" a="1"/>
  <c r="N45" i="1" s="1"/>
  <c r="M53" i="1"/>
  <c r="M37" i="1"/>
  <c r="M54" i="1"/>
  <c r="M38" i="1"/>
  <c r="N53" i="1" a="1"/>
  <c r="N53" i="1" s="1"/>
  <c r="M52" i="1"/>
  <c r="M36" i="1"/>
  <c r="N52" i="1" a="1"/>
  <c r="N52" i="1" s="1"/>
  <c r="N44" i="1" a="1"/>
  <c r="N44" i="1" s="1"/>
  <c r="M51" i="1"/>
  <c r="M35" i="1"/>
  <c r="N35" i="1" a="1"/>
  <c r="N35" i="1" s="1"/>
  <c r="M48" i="1"/>
  <c r="M49" i="1"/>
  <c r="M45" i="1"/>
  <c r="M46" i="1"/>
  <c r="M43" i="1"/>
  <c r="M47" i="1"/>
  <c r="M44" i="1"/>
  <c r="K60" i="1"/>
  <c r="M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<sst xmlns="http://schemas.openxmlformats.org/spreadsheetml/2006/main" count="238" uniqueCount="78">
  <si>
    <t>CASE STUDY 1 — SALES PERFORMANCE ANALYSIS</t>
  </si>
  <si>
    <t>Interviewer Perspective | As used in Data Analyst interviews at Google, Microsoft, Reliance Retail | Difficulty: ★★★☆☆</t>
  </si>
  <si>
    <t xml:space="preserve">  INTERVIEWER'S NOTE</t>
  </si>
  <si>
    <t xml:space="preserve">  I have given this exact dataset in 200+ interviews. In my 10 years at companies like Microsoft and Google, 60% of candidates fail Q3 alone because they don't know how to nest IFERROR with XLOOKUP. The questions are designed to separate candidates who memorised formulas from those who truly understand data. A strong candidate finishes all 6 questions in under 25 minutes.</t>
  </si>
  <si>
    <t xml:space="preserve">  SCENARIO</t>
  </si>
  <si>
    <t xml:space="preserve">  You are a Data Analyst at TechNova India. The Sales Head has given you the quarterly sales data for 20 sales representatives across 4 regions. You must analyse this data and answer the business questions below using Excel formulas only. No manual calculations permitted.</t>
  </si>
  <si>
    <t xml:space="preserve">  DATASET — Sales Data Table (Use this for all formulas)</t>
  </si>
  <si>
    <t>Emp ID</t>
  </si>
  <si>
    <t>Sales Rep Name</t>
  </si>
  <si>
    <t>Region</t>
  </si>
  <si>
    <t>Q1 Sales (₹)</t>
  </si>
  <si>
    <t>Q2 Sales (₹)</t>
  </si>
  <si>
    <t>Q3 Sales (₹)</t>
  </si>
  <si>
    <t>Q4 Sales (₹)</t>
  </si>
  <si>
    <t>Target (₹)</t>
  </si>
  <si>
    <t>Product Category</t>
  </si>
  <si>
    <t>Manager</t>
  </si>
  <si>
    <t>E001</t>
  </si>
  <si>
    <t>Amit Sharma</t>
  </si>
  <si>
    <t>North</t>
  </si>
  <si>
    <t>Software</t>
  </si>
  <si>
    <t>Rajiv Gupta</t>
  </si>
  <si>
    <t>E002</t>
  </si>
  <si>
    <t>Priya Singh</t>
  </si>
  <si>
    <t>South</t>
  </si>
  <si>
    <t>Hardware</t>
  </si>
  <si>
    <t>Sunita Rao</t>
  </si>
  <si>
    <t>E003</t>
  </si>
  <si>
    <t>Rohit Verma</t>
  </si>
  <si>
    <t>East</t>
  </si>
  <si>
    <t>Anjali Mehta</t>
  </si>
  <si>
    <t>E004</t>
  </si>
  <si>
    <t>Neha Joshi</t>
  </si>
  <si>
    <t>West</t>
  </si>
  <si>
    <t>Cloud</t>
  </si>
  <si>
    <t>E005</t>
  </si>
  <si>
    <t>Suresh Kumar</t>
  </si>
  <si>
    <t>E006</t>
  </si>
  <si>
    <t>Kavya Nair</t>
  </si>
  <si>
    <t>E007</t>
  </si>
  <si>
    <t>Arjun Patel</t>
  </si>
  <si>
    <t>E008</t>
  </si>
  <si>
    <t>Divya Reddy</t>
  </si>
  <si>
    <t>E009</t>
  </si>
  <si>
    <t>Manish Tiwari</t>
  </si>
  <si>
    <t>E010</t>
  </si>
  <si>
    <t>Pooja Agarwal</t>
  </si>
  <si>
    <t>E011</t>
  </si>
  <si>
    <t>Kiran Desai</t>
  </si>
  <si>
    <t>E012</t>
  </si>
  <si>
    <t>Vikram Yadav</t>
  </si>
  <si>
    <t>E013</t>
  </si>
  <si>
    <t>Sneha Pillai</t>
  </si>
  <si>
    <t>E014</t>
  </si>
  <si>
    <t>Ravi Choudhary</t>
  </si>
  <si>
    <t>E015</t>
  </si>
  <si>
    <t>Ananya Iyer</t>
  </si>
  <si>
    <t>E016</t>
  </si>
  <si>
    <t>Deepak Malhotra</t>
  </si>
  <si>
    <t>E017</t>
  </si>
  <si>
    <t>Sonia Bhatt</t>
  </si>
  <si>
    <t>E018</t>
  </si>
  <si>
    <t>Arun Saxena</t>
  </si>
  <si>
    <t>E019</t>
  </si>
  <si>
    <t>Nidhi Sharma</t>
  </si>
  <si>
    <t>E020</t>
  </si>
  <si>
    <t>Tarun Kapoor</t>
  </si>
  <si>
    <t xml:space="preserve">  Q1.  Calculate the TOTAL annual sales for each employee (sum of Q1+Q2+Q3+Q4) in a new column. Which formula would you use and why?</t>
  </si>
  <si>
    <t>Total_Sales</t>
  </si>
  <si>
    <t xml:space="preserve">  Q2.  Using XLOOKUP (or VLOOKUP), find the Q3 Sales of employee 'E007'. What happens if the ID doesn't exist — how do you handle the error?</t>
  </si>
  <si>
    <t xml:space="preserve">  Q3.  Using SUMIFS, calculate total Q4 sales for the 'Cloud' category in the 'West' region only.</t>
  </si>
  <si>
    <t xml:space="preserve">  Q4.  Identify all employees who MISSED their annual target. Use a formula to flag them as 'Below Target' or 'Target Achieved'.</t>
  </si>
  <si>
    <t xml:space="preserve">  Q5.  Who is the TOP performing sales representative overall? Write a formula to find their name without sorting the data.</t>
  </si>
  <si>
    <t>Annual_Target</t>
  </si>
  <si>
    <t xml:space="preserve">  Q6.  Calculate the % target achievement for each employee and rank them from 1 (highest) to 20 (lowest). Which formula handles ties correctly?</t>
  </si>
  <si>
    <t>Target %</t>
  </si>
  <si>
    <t>Rank_AVG</t>
  </si>
  <si>
    <t>Rank_EQ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</si>
</sst>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5A623"/>
      <name val="Calibri"/>
      <family val="2"/>
    </font>
    <font>
      <i/>
      <sz val="9"/>
      <color rgb="FFCCDDEE"/>
      <name val="Calibri"/>
      <family val="2"/>
    </font>
    <font>
      <b/>
      <sz val="10"/>
      <color rgb="FFF5A623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A1A2E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b/>
      <sz val="10"/>
      <color rgb="FF1A1A2E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546E7A"/>
      </patternFill>
    </fill>
    <fill>
      <patternFill patternType="solid">
        <fgColor rgb="FF16213E"/>
      </patternFill>
    </fill>
    <fill>
      <patternFill patternType="solid">
        <fgColor rgb="FFF8F9FA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FFFFF"/>
        <bgColor indexed="64"/>
      </patternFill>
    </fill>
    <fill>
      <patternFill patternType="solid">
        <fgColor rgb="FF0F3460"/>
        <bgColor indexed="64"/>
      </patternFill>
    </fill>
  </fills>
  <borders count="18">
    <border>
      <left/>
      <right/>
      <top/>
      <bottom/>
      <diagonal/>
    </border>
    <border>
      <left style="thick">
        <color rgb="FF1A1A2E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ck">
        <color rgb="FF1A1A2E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ck">
        <color rgb="FF1A1A2E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/>
      <top/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 style="thin">
        <color rgb="FFB0BEC5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left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right" vertical="center"/>
    </xf>
    <xf numFmtId="0" fontId="8" fillId="10" borderId="13" xfId="0" applyFont="1" applyFill="1" applyBorder="1" applyAlignment="1">
      <alignment horizontal="right" vertical="center"/>
    </xf>
    <xf numFmtId="0" fontId="8" fillId="10" borderId="16" xfId="0" applyFont="1" applyFill="1" applyBorder="1" applyAlignment="1">
      <alignment horizontal="right" vertical="center"/>
    </xf>
    <xf numFmtId="0" fontId="7" fillId="11" borderId="13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right" vertical="center"/>
    </xf>
    <xf numFmtId="2" fontId="0" fillId="0" borderId="0" xfId="0" applyNumberFormat="1"/>
    <xf numFmtId="2" fontId="7" fillId="11" borderId="13" xfId="0" applyNumberFormat="1" applyFont="1" applyFill="1" applyBorder="1" applyAlignment="1">
      <alignment horizontal="center" vertical="center" wrapText="1"/>
    </xf>
    <xf numFmtId="2" fontId="8" fillId="10" borderId="0" xfId="0" applyNumberFormat="1" applyFont="1" applyFill="1" applyAlignment="1">
      <alignment horizontal="right" vertical="center"/>
    </xf>
    <xf numFmtId="0" fontId="9" fillId="9" borderId="0" xfId="0" applyFont="1" applyFill="1" applyAlignment="1">
      <alignment horizontal="left" vertical="center" wrapText="1"/>
    </xf>
    <xf numFmtId="0" fontId="0" fillId="0" borderId="0" xfId="0"/>
    <xf numFmtId="0" fontId="6" fillId="6" borderId="0" xfId="0" applyFont="1" applyFill="1" applyAlignment="1">
      <alignment horizontal="left" vertical="center" wrapText="1" indent="2"/>
    </xf>
    <xf numFmtId="0" fontId="5" fillId="7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top style="thin">
          <color rgb="FFB0BEC5"/>
        </top>
      </border>
    </dxf>
    <dxf>
      <border outline="0">
        <left style="thick">
          <color rgb="FF1A1A2E"/>
        </left>
        <right style="thick">
          <color rgb="FF1A1A2E"/>
        </right>
        <top style="thin">
          <color rgb="FFB0BEC5"/>
        </top>
        <bottom style="thick">
          <color rgb="FF1A1A2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2E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B0BE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0F34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EC5"/>
        </left>
        <right style="thin">
          <color rgb="FFB0BE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E7125-DA14-4630-A957-9A66809B4C77}" name="Table1" displayName="Table1" ref="A34:O54" totalsRowShown="0" headerRowDxfId="19" dataDxfId="17" headerRowBorderDxfId="18" tableBorderDxfId="16" totalsRowBorderDxfId="15">
  <autoFilter ref="A34:O54" xr:uid="{CC3E7125-DA14-4630-A957-9A66809B4C77}"/>
  <tableColumns count="15">
    <tableColumn id="1" xr3:uid="{F25752ED-281B-43BB-BAF3-27687A3E9468}" name="Emp ID" dataDxfId="14"/>
    <tableColumn id="2" xr3:uid="{2B6285CC-11B6-4584-9A5B-8DA96E61DE46}" name="Sales Rep Name" dataDxfId="13"/>
    <tableColumn id="3" xr3:uid="{0B3CA23B-7B7E-4C5E-854E-BC47ABB9989F}" name="Region" dataDxfId="12"/>
    <tableColumn id="4" xr3:uid="{D1030C8F-0E15-4415-97B2-75B628145D81}" name="Q1 Sales (₹)" dataDxfId="11"/>
    <tableColumn id="5" xr3:uid="{EF571FA3-338B-4E4C-8C1A-965B1F8335D3}" name="Q2 Sales (₹)" dataDxfId="10"/>
    <tableColumn id="6" xr3:uid="{273C9F08-D7B1-4311-A7E2-B1BEA8071F69}" name="Q3 Sales (₹)" dataDxfId="9"/>
    <tableColumn id="7" xr3:uid="{8508A8FB-5C9D-4A41-9EF3-AE2D0592AD6A}" name="Q4 Sales (₹)" dataDxfId="8"/>
    <tableColumn id="8" xr3:uid="{822E6F46-F78C-402D-BC34-BB30CED6E5E4}" name="Target (₹)" dataDxfId="7"/>
    <tableColumn id="9" xr3:uid="{90293E61-7492-4BFB-9025-E9C17E040921}" name="Product Category" dataDxfId="6"/>
    <tableColumn id="10" xr3:uid="{639F930B-3F18-48C7-A8F1-0E0EAED5187C}" name="Manager" dataDxfId="5"/>
    <tableColumn id="11" xr3:uid="{BEC45CA4-36F8-48EA-BBA2-188E356C03CE}" name="Total_Sales" dataDxfId="4">
      <calculatedColumnFormula>SUM(Table1[[#This Row],[Q1 Sales (₹)]:[Q4 Sales (₹)]])</calculatedColumnFormula>
    </tableColumn>
    <tableColumn id="12" xr3:uid="{954A6F5A-0D88-451D-B469-C946F4B98F5E}" name="Annual_Target" dataDxfId="3">
      <calculatedColumnFormula>IF(SUM(Table1[[#This Row],[Q1 Sales (₹)]]:Table1[[#This Row],[Q4 Sales (₹)]])&lt;Table1[[#This Row],[Target (₹)]], "Below Target", "Target Achieved")</calculatedColumnFormula>
    </tableColumn>
    <tableColumn id="13" xr3:uid="{454B3D99-D05C-4649-9AD2-D7C3308B15F7}" name="Rank_EQ" dataDxfId="2">
      <calculatedColumnFormula>_xlfn.RANK.EQ(Table1[[#This Row],[Total_Sales]], Table1[Total_Sales], 0)</calculatedColumnFormula>
    </tableColumn>
    <tableColumn id="14" xr3:uid="{AD9A2812-6480-4468-88C2-DC2D5297D6B7}" name="Target %" dataDxfId="1">
      <calculatedColumnFormula array="1">SUM(Table1[Total_Sales]/Table1[[#This Row],[Target (₹)]])</calculatedColumnFormula>
    </tableColumn>
    <tableColumn id="15" xr3:uid="{96F60189-26B6-4383-B807-E7E9EC5613F1}" name="Rank_AVG" dataDxfId="0">
      <calculatedColumnFormula>_xlfn.RANK.AVG(Table1[[#This Row],[Total_Sales]],Table1[Total_Sales],0)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595-3499-4D7D-B68C-D07857B84C1E}">
  <dimension ref="A1:O61"/>
  <sheetViews>
    <sheetView tabSelected="1" zoomScale="138" workbookViewId="0">
      <selection activeCell="P36" sqref="P36"/>
    </sheetView>
  </sheetViews>
  <sheetFormatPr defaultRowHeight="14.4" x14ac:dyDescent="0.3"/>
  <cols>
    <col min="1" max="1" width="7.109375" customWidth="1"/>
    <col min="2" max="2" width="13.33203125" customWidth="1"/>
    <col min="4" max="7" width="10.44140625" customWidth="1"/>
    <col min="8" max="8" width="11.88671875" bestFit="1" customWidth="1"/>
    <col min="9" max="9" width="14.109375" customWidth="1"/>
    <col min="10" max="10" width="11.33203125" bestFit="1" customWidth="1"/>
    <col min="12" max="12" width="15.21875" bestFit="1" customWidth="1"/>
    <col min="13" max="13" width="11.33203125" bestFit="1" customWidth="1"/>
    <col min="14" max="14" width="11.109375" style="36" bestFit="1" customWidth="1"/>
  </cols>
  <sheetData>
    <row r="1" spans="1:10" ht="2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1.6" customHeight="1" x14ac:dyDescent="0.3">
      <c r="A2" s="46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7.8" customHeight="1" x14ac:dyDescent="0.3">
      <c r="A3" s="47" t="s">
        <v>2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37.200000000000003" customHeight="1" x14ac:dyDescent="0.3">
      <c r="A4" s="48" t="s">
        <v>3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x14ac:dyDescent="0.3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3">
      <c r="A6" s="49" t="s">
        <v>4</v>
      </c>
      <c r="B6" s="40"/>
      <c r="C6" s="40"/>
      <c r="D6" s="40"/>
      <c r="E6" s="40"/>
      <c r="F6" s="40"/>
      <c r="G6" s="40"/>
      <c r="H6" s="40"/>
      <c r="I6" s="40"/>
      <c r="J6" s="40"/>
    </row>
    <row r="7" spans="1:10" x14ac:dyDescent="0.3">
      <c r="A7" s="41" t="s">
        <v>5</v>
      </c>
      <c r="B7" s="40"/>
      <c r="C7" s="40"/>
      <c r="D7" s="40"/>
      <c r="E7" s="40"/>
      <c r="F7" s="40"/>
      <c r="G7" s="40"/>
      <c r="H7" s="40"/>
      <c r="I7" s="40"/>
      <c r="J7" s="40"/>
    </row>
    <row r="8" spans="1:10" ht="15" thickBot="1" x14ac:dyDescent="0.35">
      <c r="A8" s="40"/>
      <c r="B8" s="40"/>
      <c r="C8" s="40"/>
      <c r="D8" s="40"/>
      <c r="E8" s="40"/>
      <c r="F8" s="40"/>
      <c r="G8" s="40"/>
      <c r="H8" s="40"/>
      <c r="I8" s="40"/>
      <c r="J8" s="40"/>
    </row>
    <row r="9" spans="1:10" ht="15" thickTop="1" x14ac:dyDescent="0.3">
      <c r="A9" s="42" t="s">
        <v>6</v>
      </c>
      <c r="B9" s="43"/>
      <c r="C9" s="43"/>
      <c r="D9" s="43"/>
      <c r="E9" s="43"/>
      <c r="F9" s="43"/>
      <c r="G9" s="43"/>
      <c r="H9" s="43"/>
      <c r="I9" s="43"/>
      <c r="J9" s="44"/>
    </row>
    <row r="10" spans="1:10" x14ac:dyDescent="0.3">
      <c r="A10" s="1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3" t="s">
        <v>16</v>
      </c>
    </row>
    <row r="11" spans="1:10" x14ac:dyDescent="0.3">
      <c r="A11" s="4" t="s">
        <v>17</v>
      </c>
      <c r="B11" s="5" t="s">
        <v>18</v>
      </c>
      <c r="C11" s="6" t="s">
        <v>19</v>
      </c>
      <c r="D11" s="7">
        <v>820000</v>
      </c>
      <c r="E11" s="7">
        <v>910000</v>
      </c>
      <c r="F11" s="7">
        <v>750000</v>
      </c>
      <c r="G11" s="7">
        <v>980000</v>
      </c>
      <c r="H11" s="7">
        <v>3200000</v>
      </c>
      <c r="I11" s="6" t="s">
        <v>20</v>
      </c>
      <c r="J11" s="8" t="s">
        <v>21</v>
      </c>
    </row>
    <row r="12" spans="1:10" x14ac:dyDescent="0.3">
      <c r="A12" s="9" t="s">
        <v>22</v>
      </c>
      <c r="B12" s="10" t="s">
        <v>23</v>
      </c>
      <c r="C12" s="11" t="s">
        <v>24</v>
      </c>
      <c r="D12" s="12">
        <v>650000</v>
      </c>
      <c r="E12" s="12">
        <v>720000</v>
      </c>
      <c r="F12" s="12">
        <v>810000</v>
      </c>
      <c r="G12" s="12">
        <v>690000</v>
      </c>
      <c r="H12" s="12">
        <v>2800000</v>
      </c>
      <c r="I12" s="11" t="s">
        <v>25</v>
      </c>
      <c r="J12" s="13" t="s">
        <v>26</v>
      </c>
    </row>
    <row r="13" spans="1:10" x14ac:dyDescent="0.3">
      <c r="A13" s="4" t="s">
        <v>27</v>
      </c>
      <c r="B13" s="5" t="s">
        <v>28</v>
      </c>
      <c r="C13" s="6" t="s">
        <v>29</v>
      </c>
      <c r="D13" s="7">
        <v>430000</v>
      </c>
      <c r="E13" s="7">
        <v>490000</v>
      </c>
      <c r="F13" s="7">
        <v>510000</v>
      </c>
      <c r="G13" s="7">
        <v>460000</v>
      </c>
      <c r="H13" s="7">
        <v>2000000</v>
      </c>
      <c r="I13" s="6" t="s">
        <v>20</v>
      </c>
      <c r="J13" s="8" t="s">
        <v>30</v>
      </c>
    </row>
    <row r="14" spans="1:10" x14ac:dyDescent="0.3">
      <c r="A14" s="9" t="s">
        <v>31</v>
      </c>
      <c r="B14" s="10" t="s">
        <v>32</v>
      </c>
      <c r="C14" s="11" t="s">
        <v>33</v>
      </c>
      <c r="D14" s="12">
        <v>970000</v>
      </c>
      <c r="E14" s="12">
        <v>1050000</v>
      </c>
      <c r="F14" s="12">
        <v>990000</v>
      </c>
      <c r="G14" s="12">
        <v>1100000</v>
      </c>
      <c r="H14" s="12">
        <v>3800000</v>
      </c>
      <c r="I14" s="11" t="s">
        <v>34</v>
      </c>
      <c r="J14" s="13" t="s">
        <v>21</v>
      </c>
    </row>
    <row r="15" spans="1:10" x14ac:dyDescent="0.3">
      <c r="A15" s="4" t="s">
        <v>35</v>
      </c>
      <c r="B15" s="5" t="s">
        <v>36</v>
      </c>
      <c r="C15" s="6" t="s">
        <v>19</v>
      </c>
      <c r="D15" s="7">
        <v>310000</v>
      </c>
      <c r="E15" s="7">
        <v>280000</v>
      </c>
      <c r="F15" s="7">
        <v>350000</v>
      </c>
      <c r="G15" s="7">
        <v>390000</v>
      </c>
      <c r="H15" s="7">
        <v>1500000</v>
      </c>
      <c r="I15" s="6" t="s">
        <v>25</v>
      </c>
      <c r="J15" s="8" t="s">
        <v>21</v>
      </c>
    </row>
    <row r="16" spans="1:10" x14ac:dyDescent="0.3">
      <c r="A16" s="9" t="s">
        <v>37</v>
      </c>
      <c r="B16" s="10" t="s">
        <v>38</v>
      </c>
      <c r="C16" s="11" t="s">
        <v>24</v>
      </c>
      <c r="D16" s="12">
        <v>880000</v>
      </c>
      <c r="E16" s="12">
        <v>940000</v>
      </c>
      <c r="F16" s="12">
        <v>920000</v>
      </c>
      <c r="G16" s="12">
        <v>870000</v>
      </c>
      <c r="H16" s="12">
        <v>3500000</v>
      </c>
      <c r="I16" s="11" t="s">
        <v>34</v>
      </c>
      <c r="J16" s="13" t="s">
        <v>26</v>
      </c>
    </row>
    <row r="17" spans="1:10" x14ac:dyDescent="0.3">
      <c r="A17" s="4" t="s">
        <v>39</v>
      </c>
      <c r="B17" s="5" t="s">
        <v>40</v>
      </c>
      <c r="C17" s="6" t="s">
        <v>29</v>
      </c>
      <c r="D17" s="7">
        <v>760000</v>
      </c>
      <c r="E17" s="7">
        <v>810000</v>
      </c>
      <c r="F17" s="7">
        <v>790000</v>
      </c>
      <c r="G17" s="7">
        <v>840000</v>
      </c>
      <c r="H17" s="7">
        <v>3000000</v>
      </c>
      <c r="I17" s="6" t="s">
        <v>20</v>
      </c>
      <c r="J17" s="8" t="s">
        <v>30</v>
      </c>
    </row>
    <row r="18" spans="1:10" x14ac:dyDescent="0.3">
      <c r="A18" s="9" t="s">
        <v>41</v>
      </c>
      <c r="B18" s="10" t="s">
        <v>42</v>
      </c>
      <c r="C18" s="11" t="s">
        <v>33</v>
      </c>
      <c r="D18" s="12">
        <v>1100000</v>
      </c>
      <c r="E18" s="12">
        <v>1200000</v>
      </c>
      <c r="F18" s="12">
        <v>1150000</v>
      </c>
      <c r="G18" s="12">
        <v>1250000</v>
      </c>
      <c r="H18" s="12">
        <v>4200000</v>
      </c>
      <c r="I18" s="11" t="s">
        <v>34</v>
      </c>
      <c r="J18" s="13" t="s">
        <v>21</v>
      </c>
    </row>
    <row r="19" spans="1:10" x14ac:dyDescent="0.3">
      <c r="A19" s="4" t="s">
        <v>43</v>
      </c>
      <c r="B19" s="5" t="s">
        <v>44</v>
      </c>
      <c r="C19" s="6" t="s">
        <v>19</v>
      </c>
      <c r="D19" s="7">
        <v>540000</v>
      </c>
      <c r="E19" s="7">
        <v>580000</v>
      </c>
      <c r="F19" s="7">
        <v>610000</v>
      </c>
      <c r="G19" s="7">
        <v>570000</v>
      </c>
      <c r="H19" s="7">
        <v>2300000</v>
      </c>
      <c r="I19" s="6" t="s">
        <v>25</v>
      </c>
      <c r="J19" s="8" t="s">
        <v>21</v>
      </c>
    </row>
    <row r="20" spans="1:10" x14ac:dyDescent="0.3">
      <c r="A20" s="9" t="s">
        <v>45</v>
      </c>
      <c r="B20" s="10" t="s">
        <v>46</v>
      </c>
      <c r="C20" s="11" t="s">
        <v>24</v>
      </c>
      <c r="D20" s="12">
        <v>730000</v>
      </c>
      <c r="E20" s="12">
        <v>780000</v>
      </c>
      <c r="F20" s="12">
        <v>810000</v>
      </c>
      <c r="G20" s="12">
        <v>760000</v>
      </c>
      <c r="H20" s="12">
        <v>3000000</v>
      </c>
      <c r="I20" s="11" t="s">
        <v>20</v>
      </c>
      <c r="J20" s="13" t="s">
        <v>26</v>
      </c>
    </row>
    <row r="21" spans="1:10" x14ac:dyDescent="0.3">
      <c r="A21" s="4" t="s">
        <v>47</v>
      </c>
      <c r="B21" s="5" t="s">
        <v>48</v>
      </c>
      <c r="C21" s="6" t="s">
        <v>29</v>
      </c>
      <c r="D21" s="7">
        <v>290000</v>
      </c>
      <c r="E21" s="7">
        <v>310000</v>
      </c>
      <c r="F21" s="7">
        <v>270000</v>
      </c>
      <c r="G21" s="7">
        <v>320000</v>
      </c>
      <c r="H21" s="7">
        <v>1200000</v>
      </c>
      <c r="I21" s="6" t="s">
        <v>25</v>
      </c>
      <c r="J21" s="8" t="s">
        <v>30</v>
      </c>
    </row>
    <row r="22" spans="1:10" x14ac:dyDescent="0.3">
      <c r="A22" s="9" t="s">
        <v>49</v>
      </c>
      <c r="B22" s="10" t="s">
        <v>50</v>
      </c>
      <c r="C22" s="11" t="s">
        <v>33</v>
      </c>
      <c r="D22" s="12">
        <v>840000</v>
      </c>
      <c r="E22" s="12">
        <v>900000</v>
      </c>
      <c r="F22" s="12">
        <v>860000</v>
      </c>
      <c r="G22" s="12">
        <v>920000</v>
      </c>
      <c r="H22" s="12">
        <v>3400000</v>
      </c>
      <c r="I22" s="11" t="s">
        <v>34</v>
      </c>
      <c r="J22" s="13" t="s">
        <v>21</v>
      </c>
    </row>
    <row r="23" spans="1:10" x14ac:dyDescent="0.3">
      <c r="A23" s="4" t="s">
        <v>51</v>
      </c>
      <c r="B23" s="5" t="s">
        <v>52</v>
      </c>
      <c r="C23" s="6" t="s">
        <v>19</v>
      </c>
      <c r="D23" s="7">
        <v>620000</v>
      </c>
      <c r="E23" s="7">
        <v>670000</v>
      </c>
      <c r="F23" s="7">
        <v>700000</v>
      </c>
      <c r="G23" s="7">
        <v>650000</v>
      </c>
      <c r="H23" s="7">
        <v>2600000</v>
      </c>
      <c r="I23" s="6" t="s">
        <v>20</v>
      </c>
      <c r="J23" s="8" t="s">
        <v>21</v>
      </c>
    </row>
    <row r="24" spans="1:10" x14ac:dyDescent="0.3">
      <c r="A24" s="9" t="s">
        <v>53</v>
      </c>
      <c r="B24" s="10" t="s">
        <v>54</v>
      </c>
      <c r="C24" s="11" t="s">
        <v>24</v>
      </c>
      <c r="D24" s="12">
        <v>450000</v>
      </c>
      <c r="E24" s="12">
        <v>490000</v>
      </c>
      <c r="F24" s="12">
        <v>510000</v>
      </c>
      <c r="G24" s="12">
        <v>470000</v>
      </c>
      <c r="H24" s="12">
        <v>1900000</v>
      </c>
      <c r="I24" s="11" t="s">
        <v>25</v>
      </c>
      <c r="J24" s="13" t="s">
        <v>26</v>
      </c>
    </row>
    <row r="25" spans="1:10" x14ac:dyDescent="0.3">
      <c r="A25" s="4" t="s">
        <v>55</v>
      </c>
      <c r="B25" s="5" t="s">
        <v>56</v>
      </c>
      <c r="C25" s="6" t="s">
        <v>29</v>
      </c>
      <c r="D25" s="7">
        <v>980000</v>
      </c>
      <c r="E25" s="7">
        <v>1040000</v>
      </c>
      <c r="F25" s="7">
        <v>1010000</v>
      </c>
      <c r="G25" s="7">
        <v>1080000</v>
      </c>
      <c r="H25" s="7">
        <v>4000000</v>
      </c>
      <c r="I25" s="6" t="s">
        <v>34</v>
      </c>
      <c r="J25" s="8" t="s">
        <v>30</v>
      </c>
    </row>
    <row r="26" spans="1:10" x14ac:dyDescent="0.3">
      <c r="A26" s="9" t="s">
        <v>57</v>
      </c>
      <c r="B26" s="10" t="s">
        <v>58</v>
      </c>
      <c r="C26" s="11" t="s">
        <v>33</v>
      </c>
      <c r="D26" s="12">
        <v>370000</v>
      </c>
      <c r="E26" s="12">
        <v>340000</v>
      </c>
      <c r="F26" s="12">
        <v>380000</v>
      </c>
      <c r="G26" s="12">
        <v>410000</v>
      </c>
      <c r="H26" s="12">
        <v>1500000</v>
      </c>
      <c r="I26" s="11" t="s">
        <v>20</v>
      </c>
      <c r="J26" s="13" t="s">
        <v>21</v>
      </c>
    </row>
    <row r="27" spans="1:10" x14ac:dyDescent="0.3">
      <c r="A27" s="4" t="s">
        <v>59</v>
      </c>
      <c r="B27" s="5" t="s">
        <v>60</v>
      </c>
      <c r="C27" s="6" t="s">
        <v>19</v>
      </c>
      <c r="D27" s="7">
        <v>1050000</v>
      </c>
      <c r="E27" s="7">
        <v>1100000</v>
      </c>
      <c r="F27" s="7">
        <v>1080000</v>
      </c>
      <c r="G27" s="7">
        <v>1150000</v>
      </c>
      <c r="H27" s="7">
        <v>4200000</v>
      </c>
      <c r="I27" s="6" t="s">
        <v>34</v>
      </c>
      <c r="J27" s="8" t="s">
        <v>21</v>
      </c>
    </row>
    <row r="28" spans="1:10" x14ac:dyDescent="0.3">
      <c r="A28" s="9" t="s">
        <v>61</v>
      </c>
      <c r="B28" s="10" t="s">
        <v>62</v>
      </c>
      <c r="C28" s="11" t="s">
        <v>24</v>
      </c>
      <c r="D28" s="12">
        <v>680000</v>
      </c>
      <c r="E28" s="12">
        <v>720000</v>
      </c>
      <c r="F28" s="12">
        <v>750000</v>
      </c>
      <c r="G28" s="12">
        <v>700000</v>
      </c>
      <c r="H28" s="12">
        <v>2800000</v>
      </c>
      <c r="I28" s="11" t="s">
        <v>20</v>
      </c>
      <c r="J28" s="13" t="s">
        <v>26</v>
      </c>
    </row>
    <row r="29" spans="1:10" x14ac:dyDescent="0.3">
      <c r="A29" s="4" t="s">
        <v>63</v>
      </c>
      <c r="B29" s="5" t="s">
        <v>64</v>
      </c>
      <c r="C29" s="6" t="s">
        <v>29</v>
      </c>
      <c r="D29" s="7">
        <v>590000</v>
      </c>
      <c r="E29" s="7">
        <v>630000</v>
      </c>
      <c r="F29" s="7">
        <v>610000</v>
      </c>
      <c r="G29" s="7">
        <v>650000</v>
      </c>
      <c r="H29" s="7">
        <v>2400000</v>
      </c>
      <c r="I29" s="6" t="s">
        <v>25</v>
      </c>
      <c r="J29" s="8" t="s">
        <v>30</v>
      </c>
    </row>
    <row r="30" spans="1:10" ht="15" thickBot="1" x14ac:dyDescent="0.35">
      <c r="A30" s="14" t="s">
        <v>65</v>
      </c>
      <c r="B30" s="15" t="s">
        <v>66</v>
      </c>
      <c r="C30" s="16" t="s">
        <v>33</v>
      </c>
      <c r="D30" s="17">
        <v>860000</v>
      </c>
      <c r="E30" s="17">
        <v>910000</v>
      </c>
      <c r="F30" s="17">
        <v>880000</v>
      </c>
      <c r="G30" s="17">
        <v>950000</v>
      </c>
      <c r="H30" s="17">
        <v>3500000</v>
      </c>
      <c r="I30" s="16" t="s">
        <v>34</v>
      </c>
      <c r="J30" s="18" t="s">
        <v>21</v>
      </c>
    </row>
    <row r="31" spans="1:10" ht="15" thickTop="1" x14ac:dyDescent="0.3"/>
    <row r="34" spans="1:15" x14ac:dyDescent="0.3">
      <c r="A34" s="23" t="s">
        <v>7</v>
      </c>
      <c r="B34" s="24" t="s">
        <v>8</v>
      </c>
      <c r="C34" s="24" t="s">
        <v>9</v>
      </c>
      <c r="D34" s="24" t="s">
        <v>10</v>
      </c>
      <c r="E34" s="24" t="s">
        <v>11</v>
      </c>
      <c r="F34" s="24" t="s">
        <v>12</v>
      </c>
      <c r="G34" s="24" t="s">
        <v>13</v>
      </c>
      <c r="H34" s="24" t="s">
        <v>14</v>
      </c>
      <c r="I34" s="24" t="s">
        <v>15</v>
      </c>
      <c r="J34" s="25" t="s">
        <v>16</v>
      </c>
      <c r="K34" s="34" t="s">
        <v>68</v>
      </c>
      <c r="L34" s="34" t="s">
        <v>73</v>
      </c>
      <c r="M34" s="34" t="s">
        <v>77</v>
      </c>
      <c r="N34" s="37" t="s">
        <v>75</v>
      </c>
      <c r="O34" s="34" t="s">
        <v>76</v>
      </c>
    </row>
    <row r="35" spans="1:15" x14ac:dyDescent="0.3">
      <c r="A35" s="19" t="s">
        <v>17</v>
      </c>
      <c r="B35" s="5" t="s">
        <v>18</v>
      </c>
      <c r="C35" s="6" t="s">
        <v>19</v>
      </c>
      <c r="D35" s="7">
        <v>820000</v>
      </c>
      <c r="E35" s="7">
        <v>910000</v>
      </c>
      <c r="F35" s="7">
        <v>750000</v>
      </c>
      <c r="G35" s="7">
        <v>980000</v>
      </c>
      <c r="H35" s="7">
        <v>3200000</v>
      </c>
      <c r="I35" s="6" t="s">
        <v>20</v>
      </c>
      <c r="J35" s="21" t="s">
        <v>21</v>
      </c>
      <c r="K35" s="32">
        <f>SUM(Table1[[#This Row],[Q1 Sales (₹)]:[Q4 Sales (₹)]])</f>
        <v>3460000</v>
      </c>
      <c r="L35" s="35" t="str">
        <f>IF(SUM(Table1[[#This Row],[Q1 Sales (₹)]]:Table1[[#This Row],[Q4 Sales (₹)]])&lt;Table1[[#This Row],[Target (₹)]], "Below Target", "Target Achieved")</f>
        <v>Target Achieved</v>
      </c>
      <c r="M35" s="35">
        <f>_xlfn.RANK.EQ(Table1[[#This Row],[Total_Sales]], Table1[Total_Sales], 0)</f>
        <v>8</v>
      </c>
      <c r="N35" s="38" cm="1">
        <f t="array" ref="N35">SUM(Table1[Total_Sales]/Table1[[#This Row],[Target (₹)]])</f>
        <v>18.356249999999996</v>
      </c>
      <c r="O35" s="35">
        <f>_xlfn.RANK.AVG(Table1[[#This Row],[Total_Sales]],Table1[Total_Sales],0)</f>
        <v>8</v>
      </c>
    </row>
    <row r="36" spans="1:15" x14ac:dyDescent="0.3">
      <c r="A36" s="20" t="s">
        <v>22</v>
      </c>
      <c r="B36" s="10" t="s">
        <v>23</v>
      </c>
      <c r="C36" s="11" t="s">
        <v>24</v>
      </c>
      <c r="D36" s="12">
        <v>650000</v>
      </c>
      <c r="E36" s="12">
        <v>720000</v>
      </c>
      <c r="F36" s="12">
        <v>810000</v>
      </c>
      <c r="G36" s="12">
        <v>690000</v>
      </c>
      <c r="H36" s="12">
        <v>2800000</v>
      </c>
      <c r="I36" s="11" t="s">
        <v>25</v>
      </c>
      <c r="J36" s="22" t="s">
        <v>26</v>
      </c>
      <c r="K36" s="31">
        <f>SUM(Table1[[#This Row],[Q1 Sales (₹)]:[Q4 Sales (₹)]])</f>
        <v>2870000</v>
      </c>
      <c r="L36" s="35" t="str">
        <f>IF(SUM(Table1[[#This Row],[Q1 Sales (₹)]]:Table1[[#This Row],[Q4 Sales (₹)]])&lt;Table1[[#This Row],[Target (₹)]], "Below Target", "Target Achieved")</f>
        <v>Target Achieved</v>
      </c>
      <c r="M36" s="35">
        <f>_xlfn.RANK.EQ(Table1[[#This Row],[Total_Sales]], Table1[Total_Sales], 0)</f>
        <v>11</v>
      </c>
      <c r="N36" s="38" cm="1">
        <f t="array" ref="N36">SUM(Table1[Total_Sales]/Table1[[#This Row],[Target (₹)]])</f>
        <v>20.978571428571424</v>
      </c>
      <c r="O36" s="35">
        <f>_xlfn.RANK.AVG(Table1[[#This Row],[Total_Sales]],Table1[Total_Sales],0)</f>
        <v>11</v>
      </c>
    </row>
    <row r="37" spans="1:15" x14ac:dyDescent="0.3">
      <c r="A37" s="19" t="s">
        <v>27</v>
      </c>
      <c r="B37" s="5" t="s">
        <v>28</v>
      </c>
      <c r="C37" s="6" t="s">
        <v>29</v>
      </c>
      <c r="D37" s="7">
        <v>430000</v>
      </c>
      <c r="E37" s="7">
        <v>490000</v>
      </c>
      <c r="F37" s="7">
        <v>510000</v>
      </c>
      <c r="G37" s="7">
        <v>460000</v>
      </c>
      <c r="H37" s="7">
        <v>2000000</v>
      </c>
      <c r="I37" s="6" t="s">
        <v>20</v>
      </c>
      <c r="J37" s="21" t="s">
        <v>30</v>
      </c>
      <c r="K37" s="31">
        <f>SUM(Table1[[#This Row],[Q1 Sales (₹)]:[Q4 Sales (₹)]])</f>
        <v>1890000</v>
      </c>
      <c r="L37" s="35" t="str">
        <f>IF(SUM(Table1[[#This Row],[Q1 Sales (₹)]]:Table1[[#This Row],[Q4 Sales (₹)]])&lt;Table1[[#This Row],[Target (₹)]], "Below Target", "Target Achieved")</f>
        <v>Below Target</v>
      </c>
      <c r="M37" s="35">
        <f>_xlfn.RANK.EQ(Table1[[#This Row],[Total_Sales]], Table1[Total_Sales], 0)</f>
        <v>17</v>
      </c>
      <c r="N37" s="38" cm="1">
        <f t="array" ref="N37">SUM(Table1[Total_Sales]/Table1[[#This Row],[Target (₹)]])</f>
        <v>29.370000000000005</v>
      </c>
      <c r="O37" s="35">
        <f>_xlfn.RANK.AVG(Table1[[#This Row],[Total_Sales]],Table1[Total_Sales],0)</f>
        <v>17</v>
      </c>
    </row>
    <row r="38" spans="1:15" x14ac:dyDescent="0.3">
      <c r="A38" s="20" t="s">
        <v>31</v>
      </c>
      <c r="B38" s="10" t="s">
        <v>32</v>
      </c>
      <c r="C38" s="11" t="s">
        <v>33</v>
      </c>
      <c r="D38" s="12">
        <v>970000</v>
      </c>
      <c r="E38" s="12">
        <v>1050000</v>
      </c>
      <c r="F38" s="12">
        <v>990000</v>
      </c>
      <c r="G38" s="12">
        <v>1100000</v>
      </c>
      <c r="H38" s="12">
        <v>3800000</v>
      </c>
      <c r="I38" s="11" t="s">
        <v>34</v>
      </c>
      <c r="J38" s="22" t="s">
        <v>21</v>
      </c>
      <c r="K38" s="31">
        <f>SUM(Table1[[#This Row],[Q1 Sales (₹)]:[Q4 Sales (₹)]])</f>
        <v>4110000</v>
      </c>
      <c r="L38" s="35" t="str">
        <f>IF(SUM(Table1[[#This Row],[Q1 Sales (₹)]]:Table1[[#This Row],[Q4 Sales (₹)]])&lt;Table1[[#This Row],[Target (₹)]], "Below Target", "Target Achieved")</f>
        <v>Target Achieved</v>
      </c>
      <c r="M38" s="35">
        <f>_xlfn.RANK.EQ(Table1[[#This Row],[Total_Sales]], Table1[Total_Sales], 0)</f>
        <v>3</v>
      </c>
      <c r="N38" s="38" cm="1">
        <f t="array" ref="N38">SUM(Table1[Total_Sales]/Table1[[#This Row],[Target (₹)]])</f>
        <v>15.457894736842102</v>
      </c>
      <c r="O38" s="35">
        <f>_xlfn.RANK.AVG(Table1[[#This Row],[Total_Sales]],Table1[Total_Sales],0)</f>
        <v>3.5</v>
      </c>
    </row>
    <row r="39" spans="1:15" x14ac:dyDescent="0.3">
      <c r="A39" s="19" t="s">
        <v>35</v>
      </c>
      <c r="B39" s="5" t="s">
        <v>36</v>
      </c>
      <c r="C39" s="6" t="s">
        <v>19</v>
      </c>
      <c r="D39" s="7">
        <v>310000</v>
      </c>
      <c r="E39" s="7">
        <v>280000</v>
      </c>
      <c r="F39" s="7">
        <v>350000</v>
      </c>
      <c r="G39" s="7">
        <v>390000</v>
      </c>
      <c r="H39" s="7">
        <v>1500000</v>
      </c>
      <c r="I39" s="6" t="s">
        <v>25</v>
      </c>
      <c r="J39" s="21" t="s">
        <v>21</v>
      </c>
      <c r="K39" s="31">
        <f>SUM(Table1[[#This Row],[Q1 Sales (₹)]:[Q4 Sales (₹)]])</f>
        <v>1330000</v>
      </c>
      <c r="L39" s="35" t="str">
        <f>IF(SUM(Table1[[#This Row],[Q1 Sales (₹)]]:Table1[[#This Row],[Q4 Sales (₹)]])&lt;Table1[[#This Row],[Target (₹)]], "Below Target", "Target Achieved")</f>
        <v>Below Target</v>
      </c>
      <c r="M39" s="35">
        <f>_xlfn.RANK.EQ(Table1[[#This Row],[Total_Sales]], Table1[Total_Sales], 0)</f>
        <v>19</v>
      </c>
      <c r="N39" s="38" cm="1">
        <f t="array" ref="N39">SUM(Table1[Total_Sales]/Table1[[#This Row],[Target (₹)]])</f>
        <v>39.160000000000004</v>
      </c>
      <c r="O39" s="35">
        <f>_xlfn.RANK.AVG(Table1[[#This Row],[Total_Sales]],Table1[Total_Sales],0)</f>
        <v>19</v>
      </c>
    </row>
    <row r="40" spans="1:15" x14ac:dyDescent="0.3">
      <c r="A40" s="20" t="s">
        <v>37</v>
      </c>
      <c r="B40" s="10" t="s">
        <v>38</v>
      </c>
      <c r="C40" s="11" t="s">
        <v>24</v>
      </c>
      <c r="D40" s="12">
        <v>880000</v>
      </c>
      <c r="E40" s="12">
        <v>940000</v>
      </c>
      <c r="F40" s="12">
        <v>920000</v>
      </c>
      <c r="G40" s="12">
        <v>870000</v>
      </c>
      <c r="H40" s="12">
        <v>3500000</v>
      </c>
      <c r="I40" s="11" t="s">
        <v>34</v>
      </c>
      <c r="J40" s="22" t="s">
        <v>26</v>
      </c>
      <c r="K40" s="31">
        <f>SUM(Table1[[#This Row],[Q1 Sales (₹)]:[Q4 Sales (₹)]])</f>
        <v>3610000</v>
      </c>
      <c r="L40" s="35" t="str">
        <f>IF(SUM(Table1[[#This Row],[Q1 Sales (₹)]]:Table1[[#This Row],[Q4 Sales (₹)]])&lt;Table1[[#This Row],[Target (₹)]], "Below Target", "Target Achieved")</f>
        <v>Target Achieved</v>
      </c>
      <c r="M40" s="35">
        <f>_xlfn.RANK.EQ(Table1[[#This Row],[Total_Sales]], Table1[Total_Sales], 0)</f>
        <v>5</v>
      </c>
      <c r="N40" s="38" cm="1">
        <f t="array" ref="N40">SUM(Table1[Total_Sales]/Table1[[#This Row],[Target (₹)]])</f>
        <v>16.782857142857143</v>
      </c>
      <c r="O40" s="35">
        <f>_xlfn.RANK.AVG(Table1[[#This Row],[Total_Sales]],Table1[Total_Sales],0)</f>
        <v>5</v>
      </c>
    </row>
    <row r="41" spans="1:15" x14ac:dyDescent="0.3">
      <c r="A41" s="19" t="s">
        <v>39</v>
      </c>
      <c r="B41" s="5" t="s">
        <v>40</v>
      </c>
      <c r="C41" s="6" t="s">
        <v>29</v>
      </c>
      <c r="D41" s="7">
        <v>760000</v>
      </c>
      <c r="E41" s="7">
        <v>810000</v>
      </c>
      <c r="F41" s="7">
        <v>790000</v>
      </c>
      <c r="G41" s="7">
        <v>840000</v>
      </c>
      <c r="H41" s="7">
        <v>3000000</v>
      </c>
      <c r="I41" s="6" t="s">
        <v>20</v>
      </c>
      <c r="J41" s="21" t="s">
        <v>30</v>
      </c>
      <c r="K41" s="31">
        <f>SUM(Table1[[#This Row],[Q1 Sales (₹)]:[Q4 Sales (₹)]])</f>
        <v>3200000</v>
      </c>
      <c r="L41" s="35" t="str">
        <f>IF(SUM(Table1[[#This Row],[Q1 Sales (₹)]]:Table1[[#This Row],[Q4 Sales (₹)]])&lt;Table1[[#This Row],[Target (₹)]], "Below Target", "Target Achieved")</f>
        <v>Target Achieved</v>
      </c>
      <c r="M41" s="35">
        <f>_xlfn.RANK.EQ(Table1[[#This Row],[Total_Sales]], Table1[Total_Sales], 0)</f>
        <v>9</v>
      </c>
      <c r="N41" s="38" cm="1">
        <f t="array" ref="N41">SUM(Table1[Total_Sales]/Table1[[#This Row],[Target (₹)]])</f>
        <v>19.580000000000002</v>
      </c>
      <c r="O41" s="35">
        <f>_xlfn.RANK.AVG(Table1[[#This Row],[Total_Sales]],Table1[Total_Sales],0)</f>
        <v>9</v>
      </c>
    </row>
    <row r="42" spans="1:15" x14ac:dyDescent="0.3">
      <c r="A42" s="20" t="s">
        <v>41</v>
      </c>
      <c r="B42" s="10" t="s">
        <v>42</v>
      </c>
      <c r="C42" s="11" t="s">
        <v>33</v>
      </c>
      <c r="D42" s="12">
        <v>1100000</v>
      </c>
      <c r="E42" s="12">
        <v>1200000</v>
      </c>
      <c r="F42" s="12">
        <v>1150000</v>
      </c>
      <c r="G42" s="12">
        <v>1250000</v>
      </c>
      <c r="H42" s="12">
        <v>4200000</v>
      </c>
      <c r="I42" s="11" t="s">
        <v>34</v>
      </c>
      <c r="J42" s="22" t="s">
        <v>21</v>
      </c>
      <c r="K42" s="31">
        <f>SUM(Table1[[#This Row],[Q1 Sales (₹)]:[Q4 Sales (₹)]])</f>
        <v>4700000</v>
      </c>
      <c r="L42" s="35" t="str">
        <f>IF(SUM(Table1[[#This Row],[Q1 Sales (₹)]]:Table1[[#This Row],[Q4 Sales (₹)]])&lt;Table1[[#This Row],[Target (₹)]], "Below Target", "Target Achieved")</f>
        <v>Target Achieved</v>
      </c>
      <c r="M42" s="35">
        <f>_xlfn.RANK.EQ(Table1[[#This Row],[Total_Sales]], Table1[Total_Sales], 0)</f>
        <v>1</v>
      </c>
      <c r="N42" s="38" cm="1">
        <f t="array" ref="N42">SUM(Table1[Total_Sales]/Table1[[#This Row],[Target (₹)]])</f>
        <v>13.985714285714286</v>
      </c>
      <c r="O42" s="35">
        <f>_xlfn.RANK.AVG(Table1[[#This Row],[Total_Sales]],Table1[Total_Sales],0)</f>
        <v>1</v>
      </c>
    </row>
    <row r="43" spans="1:15" x14ac:dyDescent="0.3">
      <c r="A43" s="19" t="s">
        <v>43</v>
      </c>
      <c r="B43" s="5" t="s">
        <v>44</v>
      </c>
      <c r="C43" s="6" t="s">
        <v>19</v>
      </c>
      <c r="D43" s="7">
        <v>540000</v>
      </c>
      <c r="E43" s="7">
        <v>580000</v>
      </c>
      <c r="F43" s="7">
        <v>610000</v>
      </c>
      <c r="G43" s="7">
        <v>570000</v>
      </c>
      <c r="H43" s="7">
        <v>2300000</v>
      </c>
      <c r="I43" s="6" t="s">
        <v>25</v>
      </c>
      <c r="J43" s="21" t="s">
        <v>21</v>
      </c>
      <c r="K43" s="31">
        <f>SUM(Table1[[#This Row],[Q1 Sales (₹)]:[Q4 Sales (₹)]])</f>
        <v>2300000</v>
      </c>
      <c r="L43" s="35" t="str">
        <f>IF(SUM(Table1[[#This Row],[Q1 Sales (₹)]]:Table1[[#This Row],[Q4 Sales (₹)]])&lt;Table1[[#This Row],[Target (₹)]], "Below Target", "Target Achieved")</f>
        <v>Target Achieved</v>
      </c>
      <c r="M43" s="35">
        <f>_xlfn.RANK.EQ(Table1[[#This Row],[Total_Sales]], Table1[Total_Sales], 0)</f>
        <v>15</v>
      </c>
      <c r="N43" s="38" cm="1">
        <f t="array" ref="N43">SUM(Table1[Total_Sales]/Table1[[#This Row],[Target (₹)]])</f>
        <v>25.539130434782606</v>
      </c>
      <c r="O43" s="35">
        <f>_xlfn.RANK.AVG(Table1[[#This Row],[Total_Sales]],Table1[Total_Sales],0)</f>
        <v>15</v>
      </c>
    </row>
    <row r="44" spans="1:15" x14ac:dyDescent="0.3">
      <c r="A44" s="20" t="s">
        <v>45</v>
      </c>
      <c r="B44" s="10" t="s">
        <v>46</v>
      </c>
      <c r="C44" s="11" t="s">
        <v>24</v>
      </c>
      <c r="D44" s="12">
        <v>730000</v>
      </c>
      <c r="E44" s="12">
        <v>780000</v>
      </c>
      <c r="F44" s="12">
        <v>810000</v>
      </c>
      <c r="G44" s="12">
        <v>760000</v>
      </c>
      <c r="H44" s="12">
        <v>3000000</v>
      </c>
      <c r="I44" s="11" t="s">
        <v>20</v>
      </c>
      <c r="J44" s="22" t="s">
        <v>26</v>
      </c>
      <c r="K44" s="31">
        <f>SUM(Table1[[#This Row],[Q1 Sales (₹)]:[Q4 Sales (₹)]])</f>
        <v>3080000</v>
      </c>
      <c r="L44" s="35" t="str">
        <f>IF(SUM(Table1[[#This Row],[Q1 Sales (₹)]]:Table1[[#This Row],[Q4 Sales (₹)]])&lt;Table1[[#This Row],[Target (₹)]], "Below Target", "Target Achieved")</f>
        <v>Target Achieved</v>
      </c>
      <c r="M44" s="35">
        <f>_xlfn.RANK.EQ(Table1[[#This Row],[Total_Sales]], Table1[Total_Sales], 0)</f>
        <v>10</v>
      </c>
      <c r="N44" s="38" cm="1">
        <f t="array" ref="N44">SUM(Table1[Total_Sales]/Table1[[#This Row],[Target (₹)]])</f>
        <v>19.580000000000002</v>
      </c>
      <c r="O44" s="35">
        <f>_xlfn.RANK.AVG(Table1[[#This Row],[Total_Sales]],Table1[Total_Sales],0)</f>
        <v>10</v>
      </c>
    </row>
    <row r="45" spans="1:15" x14ac:dyDescent="0.3">
      <c r="A45" s="19" t="s">
        <v>47</v>
      </c>
      <c r="B45" s="5" t="s">
        <v>48</v>
      </c>
      <c r="C45" s="6" t="s">
        <v>29</v>
      </c>
      <c r="D45" s="7">
        <v>290000</v>
      </c>
      <c r="E45" s="7">
        <v>310000</v>
      </c>
      <c r="F45" s="7">
        <v>270000</v>
      </c>
      <c r="G45" s="7">
        <v>320000</v>
      </c>
      <c r="H45" s="7">
        <v>1200000</v>
      </c>
      <c r="I45" s="6" t="s">
        <v>25</v>
      </c>
      <c r="J45" s="21" t="s">
        <v>30</v>
      </c>
      <c r="K45" s="31">
        <f>SUM(Table1[[#This Row],[Q1 Sales (₹)]:[Q4 Sales (₹)]])</f>
        <v>1190000</v>
      </c>
      <c r="L45" s="35" t="str">
        <f>IF(SUM(Table1[[#This Row],[Q1 Sales (₹)]]:Table1[[#This Row],[Q4 Sales (₹)]])&lt;Table1[[#This Row],[Target (₹)]], "Below Target", "Target Achieved")</f>
        <v>Below Target</v>
      </c>
      <c r="M45" s="35">
        <f>_xlfn.RANK.EQ(Table1[[#This Row],[Total_Sales]], Table1[Total_Sales], 0)</f>
        <v>20</v>
      </c>
      <c r="N45" s="38" cm="1">
        <f t="array" ref="N45">SUM(Table1[Total_Sales]/Table1[[#This Row],[Target (₹)]])</f>
        <v>48.95</v>
      </c>
      <c r="O45" s="35">
        <f>_xlfn.RANK.AVG(Table1[[#This Row],[Total_Sales]],Table1[Total_Sales],0)</f>
        <v>20</v>
      </c>
    </row>
    <row r="46" spans="1:15" x14ac:dyDescent="0.3">
      <c r="A46" s="20" t="s">
        <v>49</v>
      </c>
      <c r="B46" s="10" t="s">
        <v>50</v>
      </c>
      <c r="C46" s="11" t="s">
        <v>33</v>
      </c>
      <c r="D46" s="12">
        <v>840000</v>
      </c>
      <c r="E46" s="12">
        <v>900000</v>
      </c>
      <c r="F46" s="12">
        <v>860000</v>
      </c>
      <c r="G46" s="12">
        <v>920000</v>
      </c>
      <c r="H46" s="12">
        <v>3400000</v>
      </c>
      <c r="I46" s="11" t="s">
        <v>34</v>
      </c>
      <c r="J46" s="22" t="s">
        <v>21</v>
      </c>
      <c r="K46" s="31">
        <f>SUM(Table1[[#This Row],[Q1 Sales (₹)]:[Q4 Sales (₹)]])</f>
        <v>3520000</v>
      </c>
      <c r="L46" s="35" t="str">
        <f>IF(SUM(Table1[[#This Row],[Q1 Sales (₹)]]:Table1[[#This Row],[Q4 Sales (₹)]])&lt;Table1[[#This Row],[Target (₹)]], "Below Target", "Target Achieved")</f>
        <v>Target Achieved</v>
      </c>
      <c r="M46" s="35">
        <f>_xlfn.RANK.EQ(Table1[[#This Row],[Total_Sales]], Table1[Total_Sales], 0)</f>
        <v>7</v>
      </c>
      <c r="N46" s="38" cm="1">
        <f t="array" ref="N46">SUM(Table1[Total_Sales]/Table1[[#This Row],[Target (₹)]])</f>
        <v>17.276470588235295</v>
      </c>
      <c r="O46" s="35">
        <f>_xlfn.RANK.AVG(Table1[[#This Row],[Total_Sales]],Table1[Total_Sales],0)</f>
        <v>7</v>
      </c>
    </row>
    <row r="47" spans="1:15" x14ac:dyDescent="0.3">
      <c r="A47" s="19" t="s">
        <v>51</v>
      </c>
      <c r="B47" s="5" t="s">
        <v>52</v>
      </c>
      <c r="C47" s="6" t="s">
        <v>19</v>
      </c>
      <c r="D47" s="7">
        <v>620000</v>
      </c>
      <c r="E47" s="7">
        <v>670000</v>
      </c>
      <c r="F47" s="7">
        <v>700000</v>
      </c>
      <c r="G47" s="7">
        <v>650000</v>
      </c>
      <c r="H47" s="7">
        <v>2600000</v>
      </c>
      <c r="I47" s="6" t="s">
        <v>20</v>
      </c>
      <c r="J47" s="21" t="s">
        <v>21</v>
      </c>
      <c r="K47" s="31">
        <f>SUM(Table1[[#This Row],[Q1 Sales (₹)]:[Q4 Sales (₹)]])</f>
        <v>2640000</v>
      </c>
      <c r="L47" s="35" t="str">
        <f>IF(SUM(Table1[[#This Row],[Q1 Sales (₹)]]:Table1[[#This Row],[Q4 Sales (₹)]])&lt;Table1[[#This Row],[Target (₹)]], "Below Target", "Target Achieved")</f>
        <v>Target Achieved</v>
      </c>
      <c r="M47" s="35">
        <f>_xlfn.RANK.EQ(Table1[[#This Row],[Total_Sales]], Table1[Total_Sales], 0)</f>
        <v>13</v>
      </c>
      <c r="N47" s="38" cm="1">
        <f t="array" ref="N47">SUM(Table1[Total_Sales]/Table1[[#This Row],[Target (₹)]])</f>
        <v>22.592307692307692</v>
      </c>
      <c r="O47" s="35">
        <f>_xlfn.RANK.AVG(Table1[[#This Row],[Total_Sales]],Table1[Total_Sales],0)</f>
        <v>13</v>
      </c>
    </row>
    <row r="48" spans="1:15" x14ac:dyDescent="0.3">
      <c r="A48" s="20" t="s">
        <v>53</v>
      </c>
      <c r="B48" s="10" t="s">
        <v>54</v>
      </c>
      <c r="C48" s="11" t="s">
        <v>24</v>
      </c>
      <c r="D48" s="12">
        <v>450000</v>
      </c>
      <c r="E48" s="12">
        <v>490000</v>
      </c>
      <c r="F48" s="12">
        <v>510000</v>
      </c>
      <c r="G48" s="12">
        <v>470000</v>
      </c>
      <c r="H48" s="12">
        <v>1900000</v>
      </c>
      <c r="I48" s="11" t="s">
        <v>25</v>
      </c>
      <c r="J48" s="22" t="s">
        <v>26</v>
      </c>
      <c r="K48" s="31">
        <f>SUM(Table1[[#This Row],[Q1 Sales (₹)]:[Q4 Sales (₹)]])</f>
        <v>1920000</v>
      </c>
      <c r="L48" s="35" t="str">
        <f>IF(SUM(Table1[[#This Row],[Q1 Sales (₹)]]:Table1[[#This Row],[Q4 Sales (₹)]])&lt;Table1[[#This Row],[Target (₹)]], "Below Target", "Target Achieved")</f>
        <v>Target Achieved</v>
      </c>
      <c r="M48" s="35">
        <f>_xlfn.RANK.EQ(Table1[[#This Row],[Total_Sales]], Table1[Total_Sales], 0)</f>
        <v>16</v>
      </c>
      <c r="N48" s="38" cm="1">
        <f t="array" ref="N48">SUM(Table1[Total_Sales]/Table1[[#This Row],[Target (₹)]])</f>
        <v>30.915789473684203</v>
      </c>
      <c r="O48" s="35">
        <f>_xlfn.RANK.AVG(Table1[[#This Row],[Total_Sales]],Table1[Total_Sales],0)</f>
        <v>16</v>
      </c>
    </row>
    <row r="49" spans="1:15" x14ac:dyDescent="0.3">
      <c r="A49" s="19" t="s">
        <v>55</v>
      </c>
      <c r="B49" s="5" t="s">
        <v>56</v>
      </c>
      <c r="C49" s="6" t="s">
        <v>29</v>
      </c>
      <c r="D49" s="7">
        <v>980000</v>
      </c>
      <c r="E49" s="7">
        <v>1040000</v>
      </c>
      <c r="F49" s="7">
        <v>1010000</v>
      </c>
      <c r="G49" s="7">
        <v>1080000</v>
      </c>
      <c r="H49" s="7">
        <v>4000000</v>
      </c>
      <c r="I49" s="6" t="s">
        <v>34</v>
      </c>
      <c r="J49" s="21" t="s">
        <v>30</v>
      </c>
      <c r="K49" s="31">
        <f>SUM(Table1[[#This Row],[Q1 Sales (₹)]:[Q4 Sales (₹)]])</f>
        <v>4110000</v>
      </c>
      <c r="L49" s="35" t="str">
        <f>IF(SUM(Table1[[#This Row],[Q1 Sales (₹)]]:Table1[[#This Row],[Q4 Sales (₹)]])&lt;Table1[[#This Row],[Target (₹)]], "Below Target", "Target Achieved")</f>
        <v>Target Achieved</v>
      </c>
      <c r="M49" s="35">
        <f>_xlfn.RANK.EQ(Table1[[#This Row],[Total_Sales]], Table1[Total_Sales], 0)</f>
        <v>3</v>
      </c>
      <c r="N49" s="38" cm="1">
        <f t="array" ref="N49">SUM(Table1[Total_Sales]/Table1[[#This Row],[Target (₹)]])</f>
        <v>14.685000000000002</v>
      </c>
      <c r="O49" s="35">
        <f>_xlfn.RANK.AVG(Table1[[#This Row],[Total_Sales]],Table1[Total_Sales],0)</f>
        <v>3.5</v>
      </c>
    </row>
    <row r="50" spans="1:15" x14ac:dyDescent="0.3">
      <c r="A50" s="20" t="s">
        <v>57</v>
      </c>
      <c r="B50" s="10" t="s">
        <v>58</v>
      </c>
      <c r="C50" s="11" t="s">
        <v>33</v>
      </c>
      <c r="D50" s="12">
        <v>370000</v>
      </c>
      <c r="E50" s="12">
        <v>340000</v>
      </c>
      <c r="F50" s="12">
        <v>380000</v>
      </c>
      <c r="G50" s="12">
        <v>410000</v>
      </c>
      <c r="H50" s="12">
        <v>1500000</v>
      </c>
      <c r="I50" s="11" t="s">
        <v>20</v>
      </c>
      <c r="J50" s="22" t="s">
        <v>21</v>
      </c>
      <c r="K50" s="31">
        <f>SUM(Table1[[#This Row],[Q1 Sales (₹)]:[Q4 Sales (₹)]])</f>
        <v>1500000</v>
      </c>
      <c r="L50" s="35" t="str">
        <f>IF(SUM(Table1[[#This Row],[Q1 Sales (₹)]]:Table1[[#This Row],[Q4 Sales (₹)]])&lt;Table1[[#This Row],[Target (₹)]], "Below Target", "Target Achieved")</f>
        <v>Target Achieved</v>
      </c>
      <c r="M50" s="35">
        <f>_xlfn.RANK.EQ(Table1[[#This Row],[Total_Sales]], Table1[Total_Sales], 0)</f>
        <v>18</v>
      </c>
      <c r="N50" s="38" cm="1">
        <f t="array" ref="N50">SUM(Table1[Total_Sales]/Table1[[#This Row],[Target (₹)]])</f>
        <v>39.160000000000004</v>
      </c>
      <c r="O50" s="35">
        <f>_xlfn.RANK.AVG(Table1[[#This Row],[Total_Sales]],Table1[Total_Sales],0)</f>
        <v>18</v>
      </c>
    </row>
    <row r="51" spans="1:15" x14ac:dyDescent="0.3">
      <c r="A51" s="19" t="s">
        <v>59</v>
      </c>
      <c r="B51" s="5" t="s">
        <v>60</v>
      </c>
      <c r="C51" s="6" t="s">
        <v>19</v>
      </c>
      <c r="D51" s="7">
        <v>1050000</v>
      </c>
      <c r="E51" s="7">
        <v>1100000</v>
      </c>
      <c r="F51" s="7">
        <v>1080000</v>
      </c>
      <c r="G51" s="7">
        <v>1150000</v>
      </c>
      <c r="H51" s="7">
        <v>4200000</v>
      </c>
      <c r="I51" s="6" t="s">
        <v>34</v>
      </c>
      <c r="J51" s="21" t="s">
        <v>21</v>
      </c>
      <c r="K51" s="31">
        <f>SUM(Table1[[#This Row],[Q1 Sales (₹)]:[Q4 Sales (₹)]])</f>
        <v>4380000</v>
      </c>
      <c r="L51" s="35" t="str">
        <f>IF(SUM(Table1[[#This Row],[Q1 Sales (₹)]]:Table1[[#This Row],[Q4 Sales (₹)]])&lt;Table1[[#This Row],[Target (₹)]], "Below Target", "Target Achieved")</f>
        <v>Target Achieved</v>
      </c>
      <c r="M51" s="35">
        <f>_xlfn.RANK.EQ(Table1[[#This Row],[Total_Sales]], Table1[Total_Sales], 0)</f>
        <v>2</v>
      </c>
      <c r="N51" s="38" cm="1">
        <f t="array" ref="N51">SUM(Table1[Total_Sales]/Table1[[#This Row],[Target (₹)]])</f>
        <v>13.985714285714286</v>
      </c>
      <c r="O51" s="35">
        <f>_xlfn.RANK.AVG(Table1[[#This Row],[Total_Sales]],Table1[Total_Sales],0)</f>
        <v>2</v>
      </c>
    </row>
    <row r="52" spans="1:15" x14ac:dyDescent="0.3">
      <c r="A52" s="20" t="s">
        <v>61</v>
      </c>
      <c r="B52" s="10" t="s">
        <v>62</v>
      </c>
      <c r="C52" s="11" t="s">
        <v>24</v>
      </c>
      <c r="D52" s="12">
        <v>680000</v>
      </c>
      <c r="E52" s="12">
        <v>720000</v>
      </c>
      <c r="F52" s="12">
        <v>750000</v>
      </c>
      <c r="G52" s="12">
        <v>700000</v>
      </c>
      <c r="H52" s="12">
        <v>2800000</v>
      </c>
      <c r="I52" s="11" t="s">
        <v>20</v>
      </c>
      <c r="J52" s="22" t="s">
        <v>26</v>
      </c>
      <c r="K52" s="31">
        <f>SUM(Table1[[#This Row],[Q1 Sales (₹)]:[Q4 Sales (₹)]])</f>
        <v>2850000</v>
      </c>
      <c r="L52" s="35" t="str">
        <f>IF(SUM(Table1[[#This Row],[Q1 Sales (₹)]]:Table1[[#This Row],[Q4 Sales (₹)]])&lt;Table1[[#This Row],[Target (₹)]], "Below Target", "Target Achieved")</f>
        <v>Target Achieved</v>
      </c>
      <c r="M52" s="35">
        <f>_xlfn.RANK.EQ(Table1[[#This Row],[Total_Sales]], Table1[Total_Sales], 0)</f>
        <v>12</v>
      </c>
      <c r="N52" s="38" cm="1">
        <f t="array" ref="N52">SUM(Table1[Total_Sales]/Table1[[#This Row],[Target (₹)]])</f>
        <v>20.978571428571424</v>
      </c>
      <c r="O52" s="35">
        <f>_xlfn.RANK.AVG(Table1[[#This Row],[Total_Sales]],Table1[Total_Sales],0)</f>
        <v>12</v>
      </c>
    </row>
    <row r="53" spans="1:15" x14ac:dyDescent="0.3">
      <c r="A53" s="19" t="s">
        <v>63</v>
      </c>
      <c r="B53" s="5" t="s">
        <v>64</v>
      </c>
      <c r="C53" s="6" t="s">
        <v>29</v>
      </c>
      <c r="D53" s="7">
        <v>590000</v>
      </c>
      <c r="E53" s="7">
        <v>630000</v>
      </c>
      <c r="F53" s="7">
        <v>610000</v>
      </c>
      <c r="G53" s="7">
        <v>650000</v>
      </c>
      <c r="H53" s="7">
        <v>2400000</v>
      </c>
      <c r="I53" s="6" t="s">
        <v>25</v>
      </c>
      <c r="J53" s="21" t="s">
        <v>30</v>
      </c>
      <c r="K53" s="31">
        <f>SUM(Table1[[#This Row],[Q1 Sales (₹)]:[Q4 Sales (₹)]])</f>
        <v>2480000</v>
      </c>
      <c r="L53" s="35" t="str">
        <f>IF(SUM(Table1[[#This Row],[Q1 Sales (₹)]]:Table1[[#This Row],[Q4 Sales (₹)]])&lt;Table1[[#This Row],[Target (₹)]], "Below Target", "Target Achieved")</f>
        <v>Target Achieved</v>
      </c>
      <c r="M53" s="35">
        <f>_xlfn.RANK.EQ(Table1[[#This Row],[Total_Sales]], Table1[Total_Sales], 0)</f>
        <v>14</v>
      </c>
      <c r="N53" s="38" cm="1">
        <f t="array" ref="N53">SUM(Table1[Total_Sales]/Table1[[#This Row],[Target (₹)]])</f>
        <v>24.475000000000001</v>
      </c>
      <c r="O53" s="35">
        <f>_xlfn.RANK.AVG(Table1[[#This Row],[Total_Sales]],Table1[Total_Sales],0)</f>
        <v>14</v>
      </c>
    </row>
    <row r="54" spans="1:15" x14ac:dyDescent="0.3">
      <c r="A54" s="26" t="s">
        <v>65</v>
      </c>
      <c r="B54" s="27" t="s">
        <v>66</v>
      </c>
      <c r="C54" s="28" t="s">
        <v>33</v>
      </c>
      <c r="D54" s="29">
        <v>860000</v>
      </c>
      <c r="E54" s="29">
        <v>910000</v>
      </c>
      <c r="F54" s="29">
        <v>880000</v>
      </c>
      <c r="G54" s="29">
        <v>950000</v>
      </c>
      <c r="H54" s="29">
        <v>3500000</v>
      </c>
      <c r="I54" s="28" t="s">
        <v>34</v>
      </c>
      <c r="J54" s="30" t="s">
        <v>21</v>
      </c>
      <c r="K54" s="33">
        <f>SUM(Table1[[#This Row],[Q1 Sales (₹)]:[Q4 Sales (₹)]])</f>
        <v>3600000</v>
      </c>
      <c r="L54" s="35" t="str">
        <f>IF(SUM(Table1[[#This Row],[Q1 Sales (₹)]]:Table1[[#This Row],[Q4 Sales (₹)]])&lt;Table1[[#This Row],[Target (₹)]], "Below Target", "Target Achieved")</f>
        <v>Target Achieved</v>
      </c>
      <c r="M54" s="35">
        <f>_xlfn.RANK.EQ(Table1[[#This Row],[Total_Sales]], Table1[Total_Sales], 0)</f>
        <v>6</v>
      </c>
      <c r="N54" s="38" cm="1">
        <f t="array" ref="N54">SUM(Table1[Total_Sales]/Table1[[#This Row],[Target (₹)]])</f>
        <v>16.782857142857143</v>
      </c>
      <c r="O54" s="35">
        <f>_xlfn.RANK.AVG(Table1[[#This Row],[Total_Sales]],Table1[Total_Sales],0)</f>
        <v>6</v>
      </c>
    </row>
    <row r="56" spans="1:15" ht="14.4" customHeight="1" x14ac:dyDescent="0.3">
      <c r="A56" s="39" t="s">
        <v>67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5" x14ac:dyDescent="0.3">
      <c r="A57" s="39" t="s">
        <v>69</v>
      </c>
      <c r="B57" s="40"/>
      <c r="C57" s="40"/>
      <c r="D57" s="40"/>
      <c r="E57" s="40"/>
      <c r="F57" s="40"/>
      <c r="G57" s="40"/>
      <c r="H57" s="40"/>
      <c r="I57" s="40"/>
      <c r="J57" s="40"/>
      <c r="K57">
        <f>_xlfn.XLOOKUP("E007", Table1[Emp ID], Table1[Q3 Sales (₹)],"Not Found")</f>
        <v>790000</v>
      </c>
    </row>
    <row r="58" spans="1:15" x14ac:dyDescent="0.3">
      <c r="A58" s="39" t="s">
        <v>70</v>
      </c>
      <c r="B58" s="40"/>
      <c r="C58" s="40"/>
      <c r="D58" s="40"/>
      <c r="E58" s="40"/>
      <c r="F58" s="40"/>
      <c r="G58" s="40"/>
      <c r="H58" s="40"/>
      <c r="I58" s="40"/>
      <c r="J58" s="40"/>
      <c r="K58">
        <f>SUMIFS(Table1[Q4 Sales (₹)],Table1[Product Category], "Cloud", Table1[Region], "West")</f>
        <v>4220000</v>
      </c>
    </row>
    <row r="59" spans="1:15" x14ac:dyDescent="0.3">
      <c r="A59" s="39" t="s">
        <v>71</v>
      </c>
      <c r="B59" s="40"/>
      <c r="C59" s="40"/>
      <c r="D59" s="40"/>
      <c r="E59" s="40"/>
      <c r="F59" s="40"/>
      <c r="G59" s="40"/>
      <c r="H59" s="40"/>
      <c r="I59" s="40"/>
      <c r="J59" s="40"/>
    </row>
    <row r="60" spans="1:15" x14ac:dyDescent="0.3">
      <c r="A60" s="39" t="s">
        <v>72</v>
      </c>
      <c r="B60" s="40"/>
      <c r="C60" s="40"/>
      <c r="D60" s="40"/>
      <c r="E60" s="40"/>
      <c r="F60" s="40"/>
      <c r="G60" s="40"/>
      <c r="H60" s="40"/>
      <c r="I60" s="40"/>
      <c r="J60" s="40"/>
      <c r="K60" t="str">
        <f>INDEX(Table1[Sales Rep Name], MATCH(MAX(Table1[Total_Sales]), Table1[Total_Sales], 0))</f>
        <v>Divya Reddy</v>
      </c>
    </row>
    <row r="61" spans="1:15" x14ac:dyDescent="0.3">
      <c r="A61" s="39" t="s">
        <v>74</v>
      </c>
      <c r="B61" s="40"/>
      <c r="C61" s="40"/>
      <c r="D61" s="40"/>
      <c r="E61" s="40"/>
      <c r="F61" s="40"/>
      <c r="G61" s="40"/>
      <c r="H61" s="40"/>
      <c r="I61" s="40"/>
      <c r="J61" s="40"/>
    </row>
  </sheetData>
  <mergeCells count="15">
    <mergeCell ref="A6:J6"/>
    <mergeCell ref="A1:J1"/>
    <mergeCell ref="A2:J2"/>
    <mergeCell ref="A3:J3"/>
    <mergeCell ref="A4:J4"/>
    <mergeCell ref="A5:J5"/>
    <mergeCell ref="A58:J58"/>
    <mergeCell ref="A59:J59"/>
    <mergeCell ref="A60:J60"/>
    <mergeCell ref="A61:J61"/>
    <mergeCell ref="A7:J7"/>
    <mergeCell ref="A8:J8"/>
    <mergeCell ref="A9:J9"/>
    <mergeCell ref="A56:J56"/>
    <mergeCell ref="A57:J5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case_study_1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Sami Siddiqui</dc:creator>
  <cp:lastModifiedBy>Mohd Sami Siddiqui</cp:lastModifiedBy>
  <dcterms:created xsi:type="dcterms:W3CDTF">2026-06-23T14:35:40Z</dcterms:created>
  <dcterms:modified xsi:type="dcterms:W3CDTF">2026-06-23T16:35:23Z</dcterms:modified>
</cp:coreProperties>
</file>